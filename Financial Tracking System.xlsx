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Users\MBUYUO\Downloads\"/>
    </mc:Choice>
  </mc:AlternateContent>
  <xr:revisionPtr revIDLastSave="0" documentId="13_ncr:1_{BCE4CC2D-085E-4D0B-AB56-0603EC3AB4E5}" xr6:coauthVersionLast="47" xr6:coauthVersionMax="47" xr10:uidLastSave="{00000000-0000-0000-0000-000000000000}"/>
  <bookViews>
    <workbookView xWindow="-110" yWindow="-110" windowWidth="19420" windowHeight="11500" firstSheet="5" activeTab="5" xr2:uid="{3C420504-ED5B-42DC-8466-E5D8C2DD0A44}"/>
  </bookViews>
  <sheets>
    <sheet name="_Validation_Lists" sheetId="3" state="veryHidden" r:id="rId1"/>
    <sheet name="TBL_Revenue" sheetId="4" r:id="rId2"/>
    <sheet name="TBL_Allocation" sheetId="5" r:id="rId3"/>
    <sheet name="TBL_Expenditure" sheetId="6" r:id="rId4"/>
    <sheet name="_Audit_Log" sheetId="7" state="veryHidden" r:id="rId5"/>
    <sheet name="RESERVE_Engine" sheetId="8" r:id="rId6"/>
    <sheet name="Pivot_Donor_Summary" sheetId="9" r:id="rId7"/>
    <sheet name="Detail1" sheetId="14" r:id="rId8"/>
    <sheet name="Detail2" sheetId="15" r:id="rId9"/>
    <sheet name="Detail3" sheetId="16" r:id="rId10"/>
    <sheet name="Detail4" sheetId="17" r:id="rId11"/>
    <sheet name="Detail5" sheetId="18" r:id="rId12"/>
    <sheet name="Detail6" sheetId="19" r:id="rId13"/>
    <sheet name="Detail7" sheetId="20" r:id="rId14"/>
    <sheet name="Detail8" sheetId="21" r:id="rId15"/>
    <sheet name="Pivot_Pillar_Allocation" sheetId="10" r:id="rId16"/>
    <sheet name="Pivot_Expenditure_Timeline" sheetId="11" r:id="rId17"/>
    <sheet name="EXECUTIVE_DASHBOARD" sheetId="12" r:id="rId18"/>
    <sheet name="Donor_Report_Template" sheetId="13" r:id="rId19"/>
  </sheets>
  <definedNames>
    <definedName name="FX_Rates">_Validation_Lists!$H$2:$I$7</definedName>
    <definedName name="List_Currency">_Validation_Lists!$C$2:$C$7</definedName>
    <definedName name="List_Donors">_Validation_Lists!$A$2:$A$13</definedName>
    <definedName name="List_Earmarking">_Validation_Lists!$F$2:$F$4</definedName>
    <definedName name="List_ExpCategories">_Validation_Lists!$E$2:$E$8</definedName>
    <definedName name="List_FundingStream">_Validation_Lists!$B$2:$B$7</definedName>
    <definedName name="List_Pillars">_Validation_Lists!$D$2:$D$8</definedName>
    <definedName name="Slicer_Donor_Name">#N/A</definedName>
    <definedName name="Slicer_Funding_Stream">#N/A</definedName>
    <definedName name="Slicer_Thematic_Pillar">#N/A</definedName>
  </definedNames>
  <calcPr calcId="191029"/>
  <pivotCaches>
    <pivotCache cacheId="4" r:id="rId20"/>
    <pivotCache cacheId="8" r:id="rId21"/>
    <pivotCache cacheId="13"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3" l="1"/>
  <c r="F8" i="13"/>
  <c r="Q5" i="12"/>
  <c r="Q4" i="12"/>
  <c r="Q3" i="12"/>
  <c r="Q2" i="12"/>
  <c r="B9" i="8"/>
  <c r="B8" i="8"/>
  <c r="B6" i="8"/>
  <c r="B5" i="8"/>
  <c r="B4" i="8"/>
  <c r="B3" i="8"/>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H8" i="4"/>
  <c r="G8" i="4"/>
  <c r="H7" i="4"/>
  <c r="G7" i="4"/>
  <c r="H6" i="4"/>
  <c r="G6" i="4"/>
  <c r="H5" i="4"/>
  <c r="G5" i="4"/>
  <c r="H4" i="4"/>
  <c r="G4" i="4"/>
  <c r="H3" i="4"/>
  <c r="G3" i="4"/>
  <c r="H2" i="4"/>
  <c r="G2" i="4"/>
</calcChain>
</file>

<file path=xl/sharedStrings.xml><?xml version="1.0" encoding="utf-8"?>
<sst xmlns="http://schemas.openxmlformats.org/spreadsheetml/2006/main" count="4724" uniqueCount="1006">
  <si>
    <t>Donors</t>
  </si>
  <si>
    <t>Sida (Sweden)</t>
  </si>
  <si>
    <t>EU Delegation</t>
  </si>
  <si>
    <t>Irish Aid</t>
  </si>
  <si>
    <t>ECHO</t>
  </si>
  <si>
    <t>SECO (Switzerland)</t>
  </si>
  <si>
    <t>USAID</t>
  </si>
  <si>
    <t>DFID (UK)</t>
  </si>
  <si>
    <t>GIZ (Germany)</t>
  </si>
  <si>
    <t>NORAD (Norway)</t>
  </si>
  <si>
    <t>Regular Budget (RB)</t>
  </si>
  <si>
    <t>Voluntary Contribution</t>
  </si>
  <si>
    <t>Secretariat Transfer</t>
  </si>
  <si>
    <t>Funding_Stream</t>
  </si>
  <si>
    <t>Voluntary Contribution (VC)</t>
  </si>
  <si>
    <t>Bilateral - Earmarked</t>
  </si>
  <si>
    <t>Bilateral - Soft Earmarked</t>
  </si>
  <si>
    <t>Bilateral - Unearmarked</t>
  </si>
  <si>
    <t>Currency</t>
  </si>
  <si>
    <t>USD</t>
  </si>
  <si>
    <t>EUR</t>
  </si>
  <si>
    <t>GBP</t>
  </si>
  <si>
    <t>SEK</t>
  </si>
  <si>
    <t>CHF</t>
  </si>
  <si>
    <t>NOK</t>
  </si>
  <si>
    <t>Pillars</t>
  </si>
  <si>
    <t>Agribusiness &amp; Value Chains</t>
  </si>
  <si>
    <t>Climate Resilience</t>
  </si>
  <si>
    <t>Nutrition &amp; Food Security</t>
  </si>
  <si>
    <t>Gender &amp; Youth Empowerment</t>
  </si>
  <si>
    <t>Policy &amp; Governance</t>
  </si>
  <si>
    <t>Emergency Response</t>
  </si>
  <si>
    <t>Cross-Cutting Operations</t>
  </si>
  <si>
    <t>Exp_Categories</t>
  </si>
  <si>
    <t>Staff &amp; Personnel</t>
  </si>
  <si>
    <t>Consultants &amp; Experts</t>
  </si>
  <si>
    <t>Travel &amp; Missions</t>
  </si>
  <si>
    <t>Equipment &amp; Supplies</t>
  </si>
  <si>
    <t>Grants &amp; Transfers</t>
  </si>
  <si>
    <t>Workshops &amp; Training</t>
  </si>
  <si>
    <t>Indirect Costs (7%)</t>
  </si>
  <si>
    <t>Earmarking</t>
  </si>
  <si>
    <t>Tightly Earmarked</t>
  </si>
  <si>
    <t>Softly Earmarked</t>
  </si>
  <si>
    <t>Unearmarked</t>
  </si>
  <si>
    <t>Rate_to_USD</t>
  </si>
  <si>
    <t>Receipt_ID</t>
  </si>
  <si>
    <t>Date_Received</t>
  </si>
  <si>
    <t>Donor_Name</t>
  </si>
  <si>
    <t>Amount_Original</t>
  </si>
  <si>
    <t>Exchange_Rate</t>
  </si>
  <si>
    <t>Amount_USD</t>
  </si>
  <si>
    <t>Earmarking_Status</t>
  </si>
  <si>
    <t>Grant_Reference</t>
  </si>
  <si>
    <t>Expiry_Date</t>
  </si>
  <si>
    <t>Restricted_To_Pillar</t>
  </si>
  <si>
    <t>Last_Updated</t>
  </si>
  <si>
    <t>REV-2026-0001</t>
  </si>
  <si>
    <t>GR-ECHO-2025</t>
  </si>
  <si>
    <t>All Pillars</t>
  </si>
  <si>
    <t>REV-2026-0002</t>
  </si>
  <si>
    <t>GR-Volu-2025</t>
  </si>
  <si>
    <t>REV-2026-0003</t>
  </si>
  <si>
    <t>GR-Regu-2025</t>
  </si>
  <si>
    <t>REV-2026-0004</t>
  </si>
  <si>
    <t>GR-ECHO-2023</t>
  </si>
  <si>
    <t>REV-2026-0005</t>
  </si>
  <si>
    <t>GR-USAI-2025</t>
  </si>
  <si>
    <t>REV-2026-0006</t>
  </si>
  <si>
    <t>GR-SECO-2023</t>
  </si>
  <si>
    <t>REV-2026-0007</t>
  </si>
  <si>
    <t>GR-Sida-2024</t>
  </si>
  <si>
    <t>REV-2026-0008</t>
  </si>
  <si>
    <t>REV-2026-0009</t>
  </si>
  <si>
    <t>GR-Sida-2025</t>
  </si>
  <si>
    <t>REV-2026-0010</t>
  </si>
  <si>
    <t>GR-ECHO-2024</t>
  </si>
  <si>
    <t>REV-2026-0011</t>
  </si>
  <si>
    <t>GR-Volu-2023</t>
  </si>
  <si>
    <t>REV-2026-0012</t>
  </si>
  <si>
    <t>GR-USAI-2026</t>
  </si>
  <si>
    <t>REV-2026-0013</t>
  </si>
  <si>
    <t>REV-2026-0014</t>
  </si>
  <si>
    <t>REV-2026-0015</t>
  </si>
  <si>
    <t>GR-Iris-2025</t>
  </si>
  <si>
    <t>REV-2026-0016</t>
  </si>
  <si>
    <t>GR-Iris-2024</t>
  </si>
  <si>
    <t>REV-2026-0017</t>
  </si>
  <si>
    <t>GR-Sida-2023</t>
  </si>
  <si>
    <t>REV-2026-0018</t>
  </si>
  <si>
    <t>GR-Volu-2024</t>
  </si>
  <si>
    <t>REV-2026-0019</t>
  </si>
  <si>
    <t>GR-EU D-2025</t>
  </si>
  <si>
    <t>REV-2026-0020</t>
  </si>
  <si>
    <t>GR-SECO-2025</t>
  </si>
  <si>
    <t>REV-2026-0021</t>
  </si>
  <si>
    <t>REV-2026-0022</t>
  </si>
  <si>
    <t>REV-2026-0023</t>
  </si>
  <si>
    <t>REV-2026-0024</t>
  </si>
  <si>
    <t>REV-2026-0025</t>
  </si>
  <si>
    <t>REV-2026-0026</t>
  </si>
  <si>
    <t>REV-2026-0027</t>
  </si>
  <si>
    <t>REV-2026-0028</t>
  </si>
  <si>
    <t>GR-Sida-2026</t>
  </si>
  <si>
    <t>REV-2026-0029</t>
  </si>
  <si>
    <t>GR-Iris-2023</t>
  </si>
  <si>
    <t>REV-2026-0030</t>
  </si>
  <si>
    <t>GR-Regu-2024</t>
  </si>
  <si>
    <t>REV-2026-0031</t>
  </si>
  <si>
    <t>REV-2026-0032</t>
  </si>
  <si>
    <t>REV-2026-0033</t>
  </si>
  <si>
    <t>REV-2026-0034</t>
  </si>
  <si>
    <t>REV-2026-0035</t>
  </si>
  <si>
    <t>GR-Regu-2026</t>
  </si>
  <si>
    <t>REV-2026-0036</t>
  </si>
  <si>
    <t>REV-2026-0037</t>
  </si>
  <si>
    <t>REV-2026-0038</t>
  </si>
  <si>
    <t>REV-2026-0039</t>
  </si>
  <si>
    <t>GR-USAI-2024</t>
  </si>
  <si>
    <t>REV-2026-0040</t>
  </si>
  <si>
    <t>REV-2026-0041</t>
  </si>
  <si>
    <t>GR-SECO-2024</t>
  </si>
  <si>
    <t>REV-2026-0042</t>
  </si>
  <si>
    <t>GR-Regu-2023</t>
  </si>
  <si>
    <t>REV-2026-0043</t>
  </si>
  <si>
    <t>REV-2026-0044</t>
  </si>
  <si>
    <t>REV-2026-0045</t>
  </si>
  <si>
    <t>REV-2026-0046</t>
  </si>
  <si>
    <t>REV-2026-0047</t>
  </si>
  <si>
    <t>GR-Volu-2026</t>
  </si>
  <si>
    <t>REV-2026-0048</t>
  </si>
  <si>
    <t>REV-2026-0049</t>
  </si>
  <si>
    <t>REV-2026-0050</t>
  </si>
  <si>
    <t>REV-2026-0051</t>
  </si>
  <si>
    <t>REV-2026-0052</t>
  </si>
  <si>
    <t>REV-2026-0053</t>
  </si>
  <si>
    <t>REV-2026-0054</t>
  </si>
  <si>
    <t>REV-2026-0055</t>
  </si>
  <si>
    <t>REV-2026-0056</t>
  </si>
  <si>
    <t>REV-2026-0057</t>
  </si>
  <si>
    <t>REV-2026-0058</t>
  </si>
  <si>
    <t>REV-2026-0059</t>
  </si>
  <si>
    <t>REV-2026-0060</t>
  </si>
  <si>
    <t>REV-2026-0061</t>
  </si>
  <si>
    <t>REV-2026-0062</t>
  </si>
  <si>
    <t>REV-2026-0063</t>
  </si>
  <si>
    <t>GR-USAI-2023</t>
  </si>
  <si>
    <t>REV-2026-0064</t>
  </si>
  <si>
    <t>REV-2026-0065</t>
  </si>
  <si>
    <t>REV-2026-0066</t>
  </si>
  <si>
    <t>REV-2026-0067</t>
  </si>
  <si>
    <t>GR-EU D-2023</t>
  </si>
  <si>
    <t>REV-2026-0068</t>
  </si>
  <si>
    <t>REV-2026-0069</t>
  </si>
  <si>
    <t>REV-2026-0070</t>
  </si>
  <si>
    <t>REV-2026-0071</t>
  </si>
  <si>
    <t>REV-2026-0072</t>
  </si>
  <si>
    <t>GR-EU D-2024</t>
  </si>
  <si>
    <t>REV-2026-0073</t>
  </si>
  <si>
    <t>REV-2026-0074</t>
  </si>
  <si>
    <t>REV-2026-0075</t>
  </si>
  <si>
    <t>REV-2026-0076</t>
  </si>
  <si>
    <t>REV-2026-0077</t>
  </si>
  <si>
    <t>REV-2026-0078</t>
  </si>
  <si>
    <t>REV-2026-0079</t>
  </si>
  <si>
    <t>REV-2026-0080</t>
  </si>
  <si>
    <t>REV-2026-0081</t>
  </si>
  <si>
    <t>REV-2026-0082</t>
  </si>
  <si>
    <t>REV-2026-0083</t>
  </si>
  <si>
    <t>REV-2026-0084</t>
  </si>
  <si>
    <t>REV-2026-0085</t>
  </si>
  <si>
    <t>Allocation_ID</t>
  </si>
  <si>
    <t>Project_Code</t>
  </si>
  <si>
    <t>Project_Title</t>
  </si>
  <si>
    <t>Thematic_Pillar</t>
  </si>
  <si>
    <t>Revenue_Source_ID</t>
  </si>
  <si>
    <t>Amount_Allocated_USD</t>
  </si>
  <si>
    <t>Allocation_Date</t>
  </si>
  <si>
    <t>Approved_By</t>
  </si>
  <si>
    <t>ALL-2026-0001</t>
  </si>
  <si>
    <t>PROJ-Agri-046</t>
  </si>
  <si>
    <t>Strengthening Coffee Value Chain - Phase 1</t>
  </si>
  <si>
    <t>Finance Committee</t>
  </si>
  <si>
    <t>ALL-2026-0002</t>
  </si>
  <si>
    <t>PROJ-Clim-028</t>
  </si>
  <si>
    <t>ALL-2026-0003</t>
  </si>
  <si>
    <t>PROJ-Agri-047</t>
  </si>
  <si>
    <t>Maternal Nutrition Programme - Phase 1</t>
  </si>
  <si>
    <t>Country Director</t>
  </si>
  <si>
    <t>ALL-2026-0004</t>
  </si>
  <si>
    <t>PROJ-Nutr-028</t>
  </si>
  <si>
    <t>Women in Agribusiness - Phase 1</t>
  </si>
  <si>
    <t>ALL-2026-0005</t>
  </si>
  <si>
    <t>PROJ-Clim-003</t>
  </si>
  <si>
    <t>Soil Health Initiative - Phase 1</t>
  </si>
  <si>
    <t>Programme Manager</t>
  </si>
  <si>
    <t>ALL-2026-0006</t>
  </si>
  <si>
    <t>PROJ-Gend-043</t>
  </si>
  <si>
    <t>Digital Extension Services - Phase 3</t>
  </si>
  <si>
    <t>ALL-2026-0007</t>
  </si>
  <si>
    <t>PROJ-Clim-025</t>
  </si>
  <si>
    <t>Women in Agribusiness - Phase 2</t>
  </si>
  <si>
    <t>ALL-2026-0008</t>
  </si>
  <si>
    <t>PROJ-Agri-013</t>
  </si>
  <si>
    <t>Drought Emergency Response - Phase 2</t>
  </si>
  <si>
    <t>ALL-2026-0009</t>
  </si>
  <si>
    <t>PROJ-Gend-033</t>
  </si>
  <si>
    <t>Climate-Smart Agriculture - Phase 3</t>
  </si>
  <si>
    <t>ALL-2026-0010</t>
  </si>
  <si>
    <t>PROJ-Emer-043</t>
  </si>
  <si>
    <t>Drought Emergency Response - Phase 3</t>
  </si>
  <si>
    <t>ALL-2026-0011</t>
  </si>
  <si>
    <t>PROJ-Nutr-013</t>
  </si>
  <si>
    <t>ALL-2026-0012</t>
  </si>
  <si>
    <t>PROJ-Agri-048</t>
  </si>
  <si>
    <t>ALL-2026-0013</t>
  </si>
  <si>
    <t>PROJ-Gend-012</t>
  </si>
  <si>
    <t>ALL-2026-0014</t>
  </si>
  <si>
    <t>PROJ-Gend-005</t>
  </si>
  <si>
    <t>ALL-2026-0015</t>
  </si>
  <si>
    <t>PROJ-Poli-039</t>
  </si>
  <si>
    <t>ALL-2026-0016</t>
  </si>
  <si>
    <t>PROJ-Nutr-007</t>
  </si>
  <si>
    <t>ALL-2026-0017</t>
  </si>
  <si>
    <t>PROJ-Nutr-016</t>
  </si>
  <si>
    <t>Soil Health Initiative - Phase 3</t>
  </si>
  <si>
    <t>ALL-2026-0018</t>
  </si>
  <si>
    <t>PROJ-Emer-006</t>
  </si>
  <si>
    <t>ALL-2026-0019</t>
  </si>
  <si>
    <t>PROJ-Poli-028</t>
  </si>
  <si>
    <t>Food Safety Policy Reform - Phase 2</t>
  </si>
  <si>
    <t>ALL-2026-0020</t>
  </si>
  <si>
    <t>PROJ-Nutr-018</t>
  </si>
  <si>
    <t>Digital Extension Services - Phase 1</t>
  </si>
  <si>
    <t>ALL-2026-0021</t>
  </si>
  <si>
    <t>PROJ-Nutr-022</t>
  </si>
  <si>
    <t>Digital Extension Services - Phase 2</t>
  </si>
  <si>
    <t>ALL-2026-0022</t>
  </si>
  <si>
    <t>PROJ-Agri-021</t>
  </si>
  <si>
    <t>ALL-2026-0023</t>
  </si>
  <si>
    <t>Strengthening Coffee Value Chain - Phase 2</t>
  </si>
  <si>
    <t>ALL-2026-0024</t>
  </si>
  <si>
    <t>ALL-2026-0025</t>
  </si>
  <si>
    <t>Drought Emergency Response - Phase 1</t>
  </si>
  <si>
    <t>ALL-2026-0026</t>
  </si>
  <si>
    <t>Maternal Nutrition Programme - Phase 2</t>
  </si>
  <si>
    <t>ALL-2026-0027</t>
  </si>
  <si>
    <t>PROJ-Clim-004</t>
  </si>
  <si>
    <t>Food Safety Policy Reform - Phase 1</t>
  </si>
  <si>
    <t>ALL-2026-0028</t>
  </si>
  <si>
    <t>PROJ-Emer-001</t>
  </si>
  <si>
    <t>ALL-2026-0029</t>
  </si>
  <si>
    <t>ALL-2026-0030</t>
  </si>
  <si>
    <t>PROJ-Agri-003</t>
  </si>
  <si>
    <t>ALL-2026-0031</t>
  </si>
  <si>
    <t>PROJ-Nutr-043</t>
  </si>
  <si>
    <t>ALL-2026-0032</t>
  </si>
  <si>
    <t>PROJ-Poli-026</t>
  </si>
  <si>
    <t>ALL-2026-0033</t>
  </si>
  <si>
    <t>ALL-2026-0034</t>
  </si>
  <si>
    <t>PROJ-Gend-022</t>
  </si>
  <si>
    <t>ALL-2026-0035</t>
  </si>
  <si>
    <t>ALL-2026-0036</t>
  </si>
  <si>
    <t>PROJ-Gend-009</t>
  </si>
  <si>
    <t>ALL-2026-0037</t>
  </si>
  <si>
    <t>PROJ-Emer-047</t>
  </si>
  <si>
    <t>Strengthening Coffee Value Chain - Phase 3</t>
  </si>
  <si>
    <t>ALL-2026-0038</t>
  </si>
  <si>
    <t>PROJ-Emer-013</t>
  </si>
  <si>
    <t>ALL-2026-0039</t>
  </si>
  <si>
    <t>PROJ-Agri-009</t>
  </si>
  <si>
    <t>ALL-2026-0040</t>
  </si>
  <si>
    <t>PROJ-Nutr-026</t>
  </si>
  <si>
    <t>ALL-2026-0041</t>
  </si>
  <si>
    <t>PROJ-Emer-012</t>
  </si>
  <si>
    <t>ALL-2026-0042</t>
  </si>
  <si>
    <t>PROJ-Poli-001</t>
  </si>
  <si>
    <t>ALL-2026-0043</t>
  </si>
  <si>
    <t>PROJ-Agri-039</t>
  </si>
  <si>
    <t>Climate-Smart Agriculture - Phase 1</t>
  </si>
  <si>
    <t>ALL-2026-0044</t>
  </si>
  <si>
    <t>PROJ-Poli-004</t>
  </si>
  <si>
    <t>ALL-2026-0045</t>
  </si>
  <si>
    <t>PROJ-Emer-038</t>
  </si>
  <si>
    <t>ALL-2026-0046</t>
  </si>
  <si>
    <t>PROJ-Emer-014</t>
  </si>
  <si>
    <t>ALL-2026-0047</t>
  </si>
  <si>
    <t>PROJ-Gend-018</t>
  </si>
  <si>
    <t>ALL-2026-0048</t>
  </si>
  <si>
    <t>PROJ-Poli-020</t>
  </si>
  <si>
    <t>ALL-2026-0049</t>
  </si>
  <si>
    <t>PROJ-Agri-002</t>
  </si>
  <si>
    <t>ALL-2026-0050</t>
  </si>
  <si>
    <t>PROJ-Agri-027</t>
  </si>
  <si>
    <t>ALL-2026-0051</t>
  </si>
  <si>
    <t>PROJ-Emer-023</t>
  </si>
  <si>
    <t>ALL-2026-0052</t>
  </si>
  <si>
    <t>PROJ-Poli-050</t>
  </si>
  <si>
    <t>ALL-2026-0053</t>
  </si>
  <si>
    <t>PROJ-Gend-030</t>
  </si>
  <si>
    <t>ALL-2026-0054</t>
  </si>
  <si>
    <t>PROJ-Clim-018</t>
  </si>
  <si>
    <t>ALL-2026-0055</t>
  </si>
  <si>
    <t>PROJ-Clim-031</t>
  </si>
  <si>
    <t>Soil Health Initiative - Phase 2</t>
  </si>
  <si>
    <t>ALL-2026-0056</t>
  </si>
  <si>
    <t>ALL-2026-0057</t>
  </si>
  <si>
    <t>PROJ-Emer-049</t>
  </si>
  <si>
    <t>ALL-2026-0058</t>
  </si>
  <si>
    <t>ALL-2026-0059</t>
  </si>
  <si>
    <t>PROJ-Emer-019</t>
  </si>
  <si>
    <t>ALL-2026-0060</t>
  </si>
  <si>
    <t>PROJ-Poli-009</t>
  </si>
  <si>
    <t>ALL-2026-0061</t>
  </si>
  <si>
    <t>PROJ-Agri-037</t>
  </si>
  <si>
    <t>ALL-2026-0062</t>
  </si>
  <si>
    <t>PROJ-Agri-038</t>
  </si>
  <si>
    <t>ALL-2026-0063</t>
  </si>
  <si>
    <t>PROJ-Clim-012</t>
  </si>
  <si>
    <t>ALL-2026-0064</t>
  </si>
  <si>
    <t>PROJ-Nutr-041</t>
  </si>
  <si>
    <t>ALL-2026-0065</t>
  </si>
  <si>
    <t>Maternal Nutrition Programme - Phase 3</t>
  </si>
  <si>
    <t>ALL-2026-0066</t>
  </si>
  <si>
    <t>PROJ-Nutr-021</t>
  </si>
  <si>
    <t>ALL-2026-0067</t>
  </si>
  <si>
    <t>PROJ-Nutr-038</t>
  </si>
  <si>
    <t>ALL-2026-0068</t>
  </si>
  <si>
    <t>PROJ-Agri-043</t>
  </si>
  <si>
    <t>ALL-2026-0069</t>
  </si>
  <si>
    <t>PROJ-Gend-020</t>
  </si>
  <si>
    <t>ALL-2026-0070</t>
  </si>
  <si>
    <t>PROJ-Emer-037</t>
  </si>
  <si>
    <t>ALL-2026-0071</t>
  </si>
  <si>
    <t>ALL-2026-0072</t>
  </si>
  <si>
    <t>PROJ-Clim-042</t>
  </si>
  <si>
    <t>ALL-2026-0073</t>
  </si>
  <si>
    <t>PROJ-Nutr-019</t>
  </si>
  <si>
    <t>ALL-2026-0074</t>
  </si>
  <si>
    <t>ALL-2026-0075</t>
  </si>
  <si>
    <t>PROJ-Poli-043</t>
  </si>
  <si>
    <t>ALL-2026-0076</t>
  </si>
  <si>
    <t>PROJ-Emer-015</t>
  </si>
  <si>
    <t>ALL-2026-0077</t>
  </si>
  <si>
    <t>ALL-2026-0078</t>
  </si>
  <si>
    <t>ALL-2026-0079</t>
  </si>
  <si>
    <t>PROJ-Clim-026</t>
  </si>
  <si>
    <t>ALL-2026-0080</t>
  </si>
  <si>
    <t>PROJ-Gend-038</t>
  </si>
  <si>
    <t>ALL-2026-0081</t>
  </si>
  <si>
    <t>PROJ-Poli-016</t>
  </si>
  <si>
    <t>ALL-2026-0082</t>
  </si>
  <si>
    <t>PROJ-Gend-003</t>
  </si>
  <si>
    <t>Climate-Smart Agriculture - Phase 2</t>
  </si>
  <si>
    <t>ALL-2026-0083</t>
  </si>
  <si>
    <t>PROJ-Emer-048</t>
  </si>
  <si>
    <t>ALL-2026-0084</t>
  </si>
  <si>
    <t>PROJ-Gend-037</t>
  </si>
  <si>
    <t>ALL-2026-0085</t>
  </si>
  <si>
    <t>PROJ-Poli-017</t>
  </si>
  <si>
    <t>ALL-2026-0086</t>
  </si>
  <si>
    <t>ALL-2026-0087</t>
  </si>
  <si>
    <t>PROJ-Emer-034</t>
  </si>
  <si>
    <t>ALL-2026-0088</t>
  </si>
  <si>
    <t>PROJ-Agri-040</t>
  </si>
  <si>
    <t>ALL-2026-0089</t>
  </si>
  <si>
    <t>PROJ-Poli-021</t>
  </si>
  <si>
    <t>ALL-2026-0090</t>
  </si>
  <si>
    <t>PROJ-Poli-002</t>
  </si>
  <si>
    <t>Food Safety Policy Reform - Phase 3</t>
  </si>
  <si>
    <t>ALL-2026-0091</t>
  </si>
  <si>
    <t>PROJ-Gend-013</t>
  </si>
  <si>
    <t>ALL-2026-0092</t>
  </si>
  <si>
    <t>PROJ-Clim-022</t>
  </si>
  <si>
    <t>ALL-2026-0093</t>
  </si>
  <si>
    <t>ALL-2026-0094</t>
  </si>
  <si>
    <t>PROJ-Gend-028</t>
  </si>
  <si>
    <t>ALL-2026-0095</t>
  </si>
  <si>
    <t>PROJ-Emer-010</t>
  </si>
  <si>
    <t>ALL-2026-0096</t>
  </si>
  <si>
    <t>PROJ-Gend-010</t>
  </si>
  <si>
    <t>ALL-2026-0097</t>
  </si>
  <si>
    <t>PROJ-Gend-047</t>
  </si>
  <si>
    <t>ALL-2026-0098</t>
  </si>
  <si>
    <t>PROJ-Poli-023</t>
  </si>
  <si>
    <t>ALL-2026-0099</t>
  </si>
  <si>
    <t>PROJ-Gend-002</t>
  </si>
  <si>
    <t>ALL-2026-0100</t>
  </si>
  <si>
    <t>PROJ-Agri-032</t>
  </si>
  <si>
    <t>Women in Agribusiness - Phase 3</t>
  </si>
  <si>
    <t>ALL-2026-0101</t>
  </si>
  <si>
    <t>PROJ-Clim-021</t>
  </si>
  <si>
    <t>ALL-2026-0102</t>
  </si>
  <si>
    <t>PROJ-Clim-015</t>
  </si>
  <si>
    <t>ALL-2026-0103</t>
  </si>
  <si>
    <t>PROJ-Gend-015</t>
  </si>
  <si>
    <t>ALL-2026-0104</t>
  </si>
  <si>
    <t>ALL-2026-0105</t>
  </si>
  <si>
    <t>PROJ-Poli-006</t>
  </si>
  <si>
    <t>ALL-2026-0106</t>
  </si>
  <si>
    <t>PROJ-Gend-029</t>
  </si>
  <si>
    <t>ALL-2026-0107</t>
  </si>
  <si>
    <t>PROJ-Clim-027</t>
  </si>
  <si>
    <t>ALL-2026-0108</t>
  </si>
  <si>
    <t>ALL-2026-0109</t>
  </si>
  <si>
    <t>ALL-2026-0110</t>
  </si>
  <si>
    <t>ALL-2026-0111</t>
  </si>
  <si>
    <t>ALL-2026-0112</t>
  </si>
  <si>
    <t>ALL-2026-0113</t>
  </si>
  <si>
    <t>PROJ-Nutr-010</t>
  </si>
  <si>
    <t>ALL-2026-0114</t>
  </si>
  <si>
    <t>PROJ-Gend-032</t>
  </si>
  <si>
    <t>ALL-2026-0115</t>
  </si>
  <si>
    <t>PROJ-Agri-001</t>
  </si>
  <si>
    <t>ALL-2026-0116</t>
  </si>
  <si>
    <t>PROJ-Emer-028</t>
  </si>
  <si>
    <t>ALL-2026-0117</t>
  </si>
  <si>
    <t>PROJ-Emer-033</t>
  </si>
  <si>
    <t>ALL-2026-0118</t>
  </si>
  <si>
    <t>PROJ-Emer-024</t>
  </si>
  <si>
    <t>ALL-2026-0119</t>
  </si>
  <si>
    <t>PROJ-Gend-016</t>
  </si>
  <si>
    <t>ALL-2026-0120</t>
  </si>
  <si>
    <t>PROJ-Nutr-012</t>
  </si>
  <si>
    <t>Expenditure_ID</t>
  </si>
  <si>
    <t>Expenditure_Date</t>
  </si>
  <si>
    <t>Expenditure_Category</t>
  </si>
  <si>
    <t>Description</t>
  </si>
  <si>
    <t>Commitment_Amount_USD</t>
  </si>
  <si>
    <t>Disbursed_Amount_USD</t>
  </si>
  <si>
    <t>Commitment_Status</t>
  </si>
  <si>
    <t>Payment_Reference</t>
  </si>
  <si>
    <t>Recipient</t>
  </si>
  <si>
    <t>EXP-2026-0001</t>
  </si>
  <si>
    <t>Activity: Field Mission</t>
  </si>
  <si>
    <t>Partially Paid</t>
  </si>
  <si>
    <t>PMT-03220</t>
  </si>
  <si>
    <t>UNOPS</t>
  </si>
  <si>
    <t>EXP-2026-0002</t>
  </si>
  <si>
    <t>PROJ-Clim-017</t>
  </si>
  <si>
    <t>Activity: Training Workshop</t>
  </si>
  <si>
    <t>PMT-10480</t>
  </si>
  <si>
    <t>UNDP Country Office</t>
  </si>
  <si>
    <t>EXP-2026-0003</t>
  </si>
  <si>
    <t>PROJ-Agri-006</t>
  </si>
  <si>
    <t>Activity: Equipment Purchase</t>
  </si>
  <si>
    <t>Open</t>
  </si>
  <si>
    <t>PMT-06584</t>
  </si>
  <si>
    <t>EXP-2026-0004</t>
  </si>
  <si>
    <t>PROJ-Nutr-004</t>
  </si>
  <si>
    <t>Activity: Consultancy Days</t>
  </si>
  <si>
    <t>PMT-06780</t>
  </si>
  <si>
    <t>Local Partner NGO</t>
  </si>
  <si>
    <t>EXP-2026-0005</t>
  </si>
  <si>
    <t>Activity: Grant Disbursement</t>
  </si>
  <si>
    <t>PMT-07578</t>
  </si>
  <si>
    <t>Government Ministry</t>
  </si>
  <si>
    <t>EXP-2026-0006</t>
  </si>
  <si>
    <t>PROJ-Clim-043</t>
  </si>
  <si>
    <t>PMT-05278</t>
  </si>
  <si>
    <t>EXP-2026-0007</t>
  </si>
  <si>
    <t>PROJ-Clim-005</t>
  </si>
  <si>
    <t>PMT-04823</t>
  </si>
  <si>
    <t>EXP-2026-0008</t>
  </si>
  <si>
    <t>PMT-10290</t>
  </si>
  <si>
    <t>EXP-2026-0009</t>
  </si>
  <si>
    <t>PROJ-Nutr-034</t>
  </si>
  <si>
    <t>PMT-09022</t>
  </si>
  <si>
    <t>Private Sector Contractor</t>
  </si>
  <si>
    <t>EXP-2026-0010</t>
  </si>
  <si>
    <t>PROJ-Clim-002</t>
  </si>
  <si>
    <t>PMT-05227</t>
  </si>
  <si>
    <t>EXP-2026-0011</t>
  </si>
  <si>
    <t>PROJ-Agri-031</t>
  </si>
  <si>
    <t>PMT-10711</t>
  </si>
  <si>
    <t>EXP-2026-0012</t>
  </si>
  <si>
    <t>PMT-02945</t>
  </si>
  <si>
    <t>EXP-2026-0013</t>
  </si>
  <si>
    <t>PROJ-Nutr-006</t>
  </si>
  <si>
    <t>PMT-10648</t>
  </si>
  <si>
    <t>EXP-2026-0014</t>
  </si>
  <si>
    <t>PMT-05228</t>
  </si>
  <si>
    <t>EXP-2026-0015</t>
  </si>
  <si>
    <t>PROJ-Poli-037</t>
  </si>
  <si>
    <t>PMT-02515</t>
  </si>
  <si>
    <t>EXP-2026-0016</t>
  </si>
  <si>
    <t>PROJ-Poli-042</t>
  </si>
  <si>
    <t>PMT-03463</t>
  </si>
  <si>
    <t>FAO Regional Hub</t>
  </si>
  <si>
    <t>EXP-2026-0017</t>
  </si>
  <si>
    <t>PROJ-Agri-019</t>
  </si>
  <si>
    <t>PMT-01651</t>
  </si>
  <si>
    <t>EXP-2026-0018</t>
  </si>
  <si>
    <t>PROJ-Nutr-040</t>
  </si>
  <si>
    <t>PMT-03690</t>
  </si>
  <si>
    <t>EXP-2026-0019</t>
  </si>
  <si>
    <t>PROJ-Nutr-033</t>
  </si>
  <si>
    <t>PMT-03604</t>
  </si>
  <si>
    <t>EXP-2026-0020</t>
  </si>
  <si>
    <t>PROJ-Nutr-024</t>
  </si>
  <si>
    <t>PMT-07792</t>
  </si>
  <si>
    <t>EXP-2026-0021</t>
  </si>
  <si>
    <t>PMT-04320</t>
  </si>
  <si>
    <t>EXP-2026-0022</t>
  </si>
  <si>
    <t>PMT-07410</t>
  </si>
  <si>
    <t>EXP-2026-0023</t>
  </si>
  <si>
    <t>PMT-01466</t>
  </si>
  <si>
    <t>EXP-2026-0024</t>
  </si>
  <si>
    <t>PROJ-Clim-019</t>
  </si>
  <si>
    <t>PMT-04454</t>
  </si>
  <si>
    <t>EXP-2026-0025</t>
  </si>
  <si>
    <t>PMT-05783</t>
  </si>
  <si>
    <t>EXP-2026-0026</t>
  </si>
  <si>
    <t>PROJ-Clim-008</t>
  </si>
  <si>
    <t>PMT-10482</t>
  </si>
  <si>
    <t>EXP-2026-0027</t>
  </si>
  <si>
    <t>PROJ-Agri-023</t>
  </si>
  <si>
    <t>PMT-05069</t>
  </si>
  <si>
    <t>EXP-2026-0028</t>
  </si>
  <si>
    <t>PMT-10538</t>
  </si>
  <si>
    <t>EXP-2026-0029</t>
  </si>
  <si>
    <t>PMT-02658</t>
  </si>
  <si>
    <t>EXP-2026-0030</t>
  </si>
  <si>
    <t>PROJ-Clim-006</t>
  </si>
  <si>
    <t>PMT-09624</t>
  </si>
  <si>
    <t>EXP-2026-0031</t>
  </si>
  <si>
    <t>PMT-08812</t>
  </si>
  <si>
    <t>EXP-2026-0032</t>
  </si>
  <si>
    <t>PROJ-Emer-030</t>
  </si>
  <si>
    <t>PMT-09026</t>
  </si>
  <si>
    <t>EXP-2026-0033</t>
  </si>
  <si>
    <t>PMT-03950</t>
  </si>
  <si>
    <t>EXP-2026-0034</t>
  </si>
  <si>
    <t>PROJ-Gend-039</t>
  </si>
  <si>
    <t>PMT-10350</t>
  </si>
  <si>
    <t>EXP-2026-0035</t>
  </si>
  <si>
    <t>PROJ-Gend-011</t>
  </si>
  <si>
    <t>PMT-03756</t>
  </si>
  <si>
    <t>EXP-2026-0036</t>
  </si>
  <si>
    <t>PMT-04816</t>
  </si>
  <si>
    <t>EXP-2026-0037</t>
  </si>
  <si>
    <t>PMT-04795</t>
  </si>
  <si>
    <t>EXP-2026-0038</t>
  </si>
  <si>
    <t>PROJ-Poli-014</t>
  </si>
  <si>
    <t>PMT-06565</t>
  </si>
  <si>
    <t>EXP-2026-0039</t>
  </si>
  <si>
    <t>PMT-04267</t>
  </si>
  <si>
    <t>EXP-2026-0040</t>
  </si>
  <si>
    <t>PMT-07171</t>
  </si>
  <si>
    <t>EXP-2026-0041</t>
  </si>
  <si>
    <t>PROJ-Clim-030</t>
  </si>
  <si>
    <t>PMT-04035</t>
  </si>
  <si>
    <t>EXP-2026-0042</t>
  </si>
  <si>
    <t>PMT-02566</t>
  </si>
  <si>
    <t>EXP-2026-0043</t>
  </si>
  <si>
    <t>PROJ-Nutr-009</t>
  </si>
  <si>
    <t>PMT-01543</t>
  </si>
  <si>
    <t>EXP-2026-0044</t>
  </si>
  <si>
    <t>PMT-06478</t>
  </si>
  <si>
    <t>EXP-2026-0045</t>
  </si>
  <si>
    <t>PMT-10180</t>
  </si>
  <si>
    <t>EXP-2026-0046</t>
  </si>
  <si>
    <t>PROJ-Poli-045</t>
  </si>
  <si>
    <t>PMT-01972</t>
  </si>
  <si>
    <t>EXP-2026-0047</t>
  </si>
  <si>
    <t>PROJ-Gend-031</t>
  </si>
  <si>
    <t>PMT-04207</t>
  </si>
  <si>
    <t>EXP-2026-0048</t>
  </si>
  <si>
    <t>PROJ-Agri-018</t>
  </si>
  <si>
    <t>PMT-04285</t>
  </si>
  <si>
    <t>EXP-2026-0049</t>
  </si>
  <si>
    <t>PMT-01673</t>
  </si>
  <si>
    <t>EXP-2026-0050</t>
  </si>
  <si>
    <t>PMT-06118</t>
  </si>
  <si>
    <t>EXP-2026-0051</t>
  </si>
  <si>
    <t>PMT-08363</t>
  </si>
  <si>
    <t>EXP-2026-0052</t>
  </si>
  <si>
    <t>PROJ-Poli-048</t>
  </si>
  <si>
    <t>PMT-02182</t>
  </si>
  <si>
    <t>EXP-2026-0053</t>
  </si>
  <si>
    <t>PROJ-Emer-011</t>
  </si>
  <si>
    <t>PMT-06727</t>
  </si>
  <si>
    <t>EXP-2026-0054</t>
  </si>
  <si>
    <t>PROJ-Poli-011</t>
  </si>
  <si>
    <t>PMT-09248</t>
  </si>
  <si>
    <t>EXP-2026-0055</t>
  </si>
  <si>
    <t>PMT-03294</t>
  </si>
  <si>
    <t>EXP-2026-0056</t>
  </si>
  <si>
    <t>PROJ-Gend-017</t>
  </si>
  <si>
    <t>PMT-01069</t>
  </si>
  <si>
    <t>EXP-2026-0057</t>
  </si>
  <si>
    <t>PROJ-Agri-028</t>
  </si>
  <si>
    <t>PMT-07322</t>
  </si>
  <si>
    <t>EXP-2026-0058</t>
  </si>
  <si>
    <t>PROJ-Clim-013</t>
  </si>
  <si>
    <t>PMT-05502</t>
  </si>
  <si>
    <t>EXP-2026-0059</t>
  </si>
  <si>
    <t>PMT-09231</t>
  </si>
  <si>
    <t>EXP-2026-0060</t>
  </si>
  <si>
    <t>PROJ-Poli-041</t>
  </si>
  <si>
    <t>PMT-09500</t>
  </si>
  <si>
    <t>EXP-2026-0061</t>
  </si>
  <si>
    <t>PROJ-Emer-036</t>
  </si>
  <si>
    <t>PMT-03230</t>
  </si>
  <si>
    <t>EXP-2026-0062</t>
  </si>
  <si>
    <t>PROJ-Nutr-001</t>
  </si>
  <si>
    <t>PMT-06284</t>
  </si>
  <si>
    <t>EXP-2026-0063</t>
  </si>
  <si>
    <t>PROJ-Poli-034</t>
  </si>
  <si>
    <t>PMT-09845</t>
  </si>
  <si>
    <t>EXP-2026-0064</t>
  </si>
  <si>
    <t>PMT-06791</t>
  </si>
  <si>
    <t>EXP-2026-0065</t>
  </si>
  <si>
    <t>PROJ-Clim-048</t>
  </si>
  <si>
    <t>PMT-08268</t>
  </si>
  <si>
    <t>EXP-2026-0066</t>
  </si>
  <si>
    <t>PROJ-Emer-018</t>
  </si>
  <si>
    <t>PMT-03776</t>
  </si>
  <si>
    <t>EXP-2026-0067</t>
  </si>
  <si>
    <t>PMT-04516</t>
  </si>
  <si>
    <t>EXP-2026-0068</t>
  </si>
  <si>
    <t>PMT-08356</t>
  </si>
  <si>
    <t>EXP-2026-0069</t>
  </si>
  <si>
    <t>PROJ-Nutr-020</t>
  </si>
  <si>
    <t>PMT-01817</t>
  </si>
  <si>
    <t>EXP-2026-0070</t>
  </si>
  <si>
    <t>PROJ-Gend-014</t>
  </si>
  <si>
    <t>PMT-10775</t>
  </si>
  <si>
    <t>EXP-2026-0071</t>
  </si>
  <si>
    <t>PROJ-Nutr-031</t>
  </si>
  <si>
    <t>PMT-02865</t>
  </si>
  <si>
    <t>EXP-2026-0072</t>
  </si>
  <si>
    <t>PMT-10572</t>
  </si>
  <si>
    <t>EXP-2026-0073</t>
  </si>
  <si>
    <t>PMT-05611</t>
  </si>
  <si>
    <t>EXP-2026-0074</t>
  </si>
  <si>
    <t>PMT-05580</t>
  </si>
  <si>
    <t>EXP-2026-0075</t>
  </si>
  <si>
    <t>PROJ-Clim-040</t>
  </si>
  <si>
    <t>PMT-05528</t>
  </si>
  <si>
    <t>EXP-2026-0076</t>
  </si>
  <si>
    <t>PROJ-Agri-025</t>
  </si>
  <si>
    <t>PMT-09725</t>
  </si>
  <si>
    <t>EXP-2026-0077</t>
  </si>
  <si>
    <t>PROJ-Emer-020</t>
  </si>
  <si>
    <t>PMT-05562</t>
  </si>
  <si>
    <t>EXP-2026-0078</t>
  </si>
  <si>
    <t>PMT-01482</t>
  </si>
  <si>
    <t>EXP-2026-0079</t>
  </si>
  <si>
    <t>PROJ-Clim-038</t>
  </si>
  <si>
    <t>PMT-07263</t>
  </si>
  <si>
    <t>EXP-2026-0080</t>
  </si>
  <si>
    <t>PMT-09599</t>
  </si>
  <si>
    <t>EXP-2026-0081</t>
  </si>
  <si>
    <t>PMT-10911</t>
  </si>
  <si>
    <t>EXP-2026-0082</t>
  </si>
  <si>
    <t>PROJ-Emer-045</t>
  </si>
  <si>
    <t>PMT-08137</t>
  </si>
  <si>
    <t>EXP-2026-0083</t>
  </si>
  <si>
    <t>PROJ-Clim-024</t>
  </si>
  <si>
    <t>PMT-09578</t>
  </si>
  <si>
    <t>EXP-2026-0084</t>
  </si>
  <si>
    <t>PROJ-Nutr-048</t>
  </si>
  <si>
    <t>PMT-09001</t>
  </si>
  <si>
    <t>EXP-2026-0085</t>
  </si>
  <si>
    <t>PMT-01973</t>
  </si>
  <si>
    <t>EXP-2026-0086</t>
  </si>
  <si>
    <t>PROJ-Agri-024</t>
  </si>
  <si>
    <t>PMT-08690</t>
  </si>
  <si>
    <t>EXP-2026-0087</t>
  </si>
  <si>
    <t>PROJ-Clim-046</t>
  </si>
  <si>
    <t>PMT-04100</t>
  </si>
  <si>
    <t>EXP-2026-0088</t>
  </si>
  <si>
    <t>PMT-08129</t>
  </si>
  <si>
    <t>EXP-2026-0089</t>
  </si>
  <si>
    <t>PROJ-Nutr-049</t>
  </si>
  <si>
    <t>PMT-09423</t>
  </si>
  <si>
    <t>EXP-2026-0090</t>
  </si>
  <si>
    <t>PMT-01276</t>
  </si>
  <si>
    <t>EXP-2026-0091</t>
  </si>
  <si>
    <t>PROJ-Emer-042</t>
  </si>
  <si>
    <t>PMT-06708</t>
  </si>
  <si>
    <t>EXP-2026-0092</t>
  </si>
  <si>
    <t>PROJ-Gend-045</t>
  </si>
  <si>
    <t>PMT-06915</t>
  </si>
  <si>
    <t>EXP-2026-0093</t>
  </si>
  <si>
    <t>PROJ-Agri-029</t>
  </si>
  <si>
    <t>PMT-06773</t>
  </si>
  <si>
    <t>EXP-2026-0094</t>
  </si>
  <si>
    <t>PMT-08840</t>
  </si>
  <si>
    <t>EXP-2026-0095</t>
  </si>
  <si>
    <t>PMT-01715</t>
  </si>
  <si>
    <t>EXP-2026-0096</t>
  </si>
  <si>
    <t>PMT-05900</t>
  </si>
  <si>
    <t>EXP-2026-0097</t>
  </si>
  <si>
    <t>PMT-01882</t>
  </si>
  <si>
    <t>EXP-2026-0098</t>
  </si>
  <si>
    <t>PMT-05074</t>
  </si>
  <si>
    <t>EXP-2026-0099</t>
  </si>
  <si>
    <t>PMT-07705</t>
  </si>
  <si>
    <t>EXP-2026-0100</t>
  </si>
  <si>
    <t>PMT-06705</t>
  </si>
  <si>
    <t>EXP-2026-0101</t>
  </si>
  <si>
    <t>PROJ-Poli-012</t>
  </si>
  <si>
    <t>PMT-03420</t>
  </si>
  <si>
    <t>EXP-2026-0102</t>
  </si>
  <si>
    <t>PROJ-Emer-016</t>
  </si>
  <si>
    <t>PMT-08082</t>
  </si>
  <si>
    <t>EXP-2026-0103</t>
  </si>
  <si>
    <t>PROJ-Clim-001</t>
  </si>
  <si>
    <t>PMT-09333</t>
  </si>
  <si>
    <t>EXP-2026-0104</t>
  </si>
  <si>
    <t>PROJ-Agri-016</t>
  </si>
  <si>
    <t>PMT-07782</t>
  </si>
  <si>
    <t>EXP-2026-0105</t>
  </si>
  <si>
    <t>PMT-03479</t>
  </si>
  <si>
    <t>EXP-2026-0106</t>
  </si>
  <si>
    <t>PROJ-Nutr-023</t>
  </si>
  <si>
    <t>PMT-01743</t>
  </si>
  <si>
    <t>EXP-2026-0107</t>
  </si>
  <si>
    <t>PROJ-Nutr-003</t>
  </si>
  <si>
    <t>PMT-04456</t>
  </si>
  <si>
    <t>EXP-2026-0108</t>
  </si>
  <si>
    <t>PROJ-Emer-039</t>
  </si>
  <si>
    <t>PMT-05194</t>
  </si>
  <si>
    <t>EXP-2026-0109</t>
  </si>
  <si>
    <t>PMT-01374</t>
  </si>
  <si>
    <t>EXP-2026-0110</t>
  </si>
  <si>
    <t>PROJ-Gend-035</t>
  </si>
  <si>
    <t>PMT-07884</t>
  </si>
  <si>
    <t>EXP-2026-0111</t>
  </si>
  <si>
    <t>PROJ-Agri-036</t>
  </si>
  <si>
    <t>PMT-01010</t>
  </si>
  <si>
    <t>EXP-2026-0112</t>
  </si>
  <si>
    <t>PMT-01984</t>
  </si>
  <si>
    <t>EXP-2026-0113</t>
  </si>
  <si>
    <t>PROJ-Poli-033</t>
  </si>
  <si>
    <t>PMT-05759</t>
  </si>
  <si>
    <t>EXP-2026-0114</t>
  </si>
  <si>
    <t>PROJ-Agri-033</t>
  </si>
  <si>
    <t>PMT-03271</t>
  </si>
  <si>
    <t>EXP-2026-0115</t>
  </si>
  <si>
    <t>PMT-08865</t>
  </si>
  <si>
    <t>EXP-2026-0116</t>
  </si>
  <si>
    <t>PROJ-Poli-032</t>
  </si>
  <si>
    <t>PMT-10891</t>
  </si>
  <si>
    <t>EXP-2026-0117</t>
  </si>
  <si>
    <t>PROJ-Clim-020</t>
  </si>
  <si>
    <t>PMT-10256</t>
  </si>
  <si>
    <t>EXP-2026-0118</t>
  </si>
  <si>
    <t>PMT-09228</t>
  </si>
  <si>
    <t>EXP-2026-0119</t>
  </si>
  <si>
    <t>PMT-03467</t>
  </si>
  <si>
    <t>EXP-2026-0120</t>
  </si>
  <si>
    <t>PMT-03014</t>
  </si>
  <si>
    <t>EXP-2026-0121</t>
  </si>
  <si>
    <t>PMT-06881</t>
  </si>
  <si>
    <t>EXP-2026-0122</t>
  </si>
  <si>
    <t>PROJ-Clim-009</t>
  </si>
  <si>
    <t>PMT-09970</t>
  </si>
  <si>
    <t>EXP-2026-0123</t>
  </si>
  <si>
    <t>PROJ-Gend-025</t>
  </si>
  <si>
    <t>PMT-03105</t>
  </si>
  <si>
    <t>EXP-2026-0124</t>
  </si>
  <si>
    <t>PROJ-Gend-050</t>
  </si>
  <si>
    <t>PMT-01987</t>
  </si>
  <si>
    <t>EXP-2026-0125</t>
  </si>
  <si>
    <t>PMT-08742</t>
  </si>
  <si>
    <t>EXP-2026-0126</t>
  </si>
  <si>
    <t>PMT-06758</t>
  </si>
  <si>
    <t>EXP-2026-0127</t>
  </si>
  <si>
    <t>PMT-10519</t>
  </si>
  <si>
    <t>EXP-2026-0128</t>
  </si>
  <si>
    <t>PMT-08844</t>
  </si>
  <si>
    <t>EXP-2026-0129</t>
  </si>
  <si>
    <t>PMT-08480</t>
  </si>
  <si>
    <t>EXP-2026-0130</t>
  </si>
  <si>
    <t>PROJ-Gend-040</t>
  </si>
  <si>
    <t>PMT-05187</t>
  </si>
  <si>
    <t>EXP-2026-0131</t>
  </si>
  <si>
    <t>PMT-03866</t>
  </si>
  <si>
    <t>EXP-2026-0132</t>
  </si>
  <si>
    <t>PMT-07168</t>
  </si>
  <si>
    <t>EXP-2026-0133</t>
  </si>
  <si>
    <t>PMT-09681</t>
  </si>
  <si>
    <t>EXP-2026-0134</t>
  </si>
  <si>
    <t>PROJ-Poli-003</t>
  </si>
  <si>
    <t>PMT-09291</t>
  </si>
  <si>
    <t>EXP-2026-0135</t>
  </si>
  <si>
    <t>PMT-08134</t>
  </si>
  <si>
    <t>EXP-2026-0136</t>
  </si>
  <si>
    <t>PROJ-Emer-022</t>
  </si>
  <si>
    <t>PMT-03197</t>
  </si>
  <si>
    <t>EXP-2026-0137</t>
  </si>
  <si>
    <t>PROJ-Agri-014</t>
  </si>
  <si>
    <t>PMT-07760</t>
  </si>
  <si>
    <t>EXP-2026-0138</t>
  </si>
  <si>
    <t>PMT-06690</t>
  </si>
  <si>
    <t>EXP-2026-0139</t>
  </si>
  <si>
    <t>PMT-04400</t>
  </si>
  <si>
    <t>EXP-2026-0140</t>
  </si>
  <si>
    <t>PROJ-Gend-027</t>
  </si>
  <si>
    <t>PMT-10749</t>
  </si>
  <si>
    <t>EXP-2026-0141</t>
  </si>
  <si>
    <t>PMT-08149</t>
  </si>
  <si>
    <t>EXP-2026-0142</t>
  </si>
  <si>
    <t>PMT-06648</t>
  </si>
  <si>
    <t>EXP-2026-0143</t>
  </si>
  <si>
    <t>PROJ-Agri-041</t>
  </si>
  <si>
    <t>PMT-02348</t>
  </si>
  <si>
    <t>EXP-2026-0144</t>
  </si>
  <si>
    <t>PROJ-Nutr-027</t>
  </si>
  <si>
    <t>PMT-08736</t>
  </si>
  <si>
    <t>EXP-2026-0145</t>
  </si>
  <si>
    <t>PMT-02680</t>
  </si>
  <si>
    <t>EXP-2026-0146</t>
  </si>
  <si>
    <t>PMT-04901</t>
  </si>
  <si>
    <t>EXP-2026-0147</t>
  </si>
  <si>
    <t>PMT-01026</t>
  </si>
  <si>
    <t>EXP-2026-0148</t>
  </si>
  <si>
    <t>PROJ-Poli-038</t>
  </si>
  <si>
    <t>PMT-09240</t>
  </si>
  <si>
    <t>EXP-2026-0149</t>
  </si>
  <si>
    <t>PMT-08067</t>
  </si>
  <si>
    <t>EXP-2026-0150</t>
  </si>
  <si>
    <t>PMT-03824</t>
  </si>
  <si>
    <t>EXP-2026-0151</t>
  </si>
  <si>
    <t>PMT-02415</t>
  </si>
  <si>
    <t>EXP-2026-0152</t>
  </si>
  <si>
    <t>PMT-05064</t>
  </si>
  <si>
    <t>EXP-2026-0153</t>
  </si>
  <si>
    <t>PROJ-Clim-010</t>
  </si>
  <si>
    <t>PMT-04760</t>
  </si>
  <si>
    <t>EXP-2026-0154</t>
  </si>
  <si>
    <t>PROJ-Gend-049</t>
  </si>
  <si>
    <t>PMT-01745</t>
  </si>
  <si>
    <t>EXP-2026-0155</t>
  </si>
  <si>
    <t>PMT-04954</t>
  </si>
  <si>
    <t>EXP-2026-0156</t>
  </si>
  <si>
    <t>PMT-03375</t>
  </si>
  <si>
    <t>EXP-2026-0157</t>
  </si>
  <si>
    <t>PMT-04465</t>
  </si>
  <si>
    <t>EXP-2026-0158</t>
  </si>
  <si>
    <t>PROJ-Emer-004</t>
  </si>
  <si>
    <t>PMT-06799</t>
  </si>
  <si>
    <t>EXP-2026-0159</t>
  </si>
  <si>
    <t>PROJ-Poli-007</t>
  </si>
  <si>
    <t>PMT-05362</t>
  </si>
  <si>
    <t>EXP-2026-0160</t>
  </si>
  <si>
    <t>PROJ-Emer-040</t>
  </si>
  <si>
    <t>PMT-05142</t>
  </si>
  <si>
    <t>EXP-2026-0161</t>
  </si>
  <si>
    <t>PMT-09662</t>
  </si>
  <si>
    <t>EXP-2026-0162</t>
  </si>
  <si>
    <t>PROJ-Nutr-014</t>
  </si>
  <si>
    <t>PMT-09887</t>
  </si>
  <si>
    <t>EXP-2026-0163</t>
  </si>
  <si>
    <t>PMT-01330</t>
  </si>
  <si>
    <t>EXP-2026-0164</t>
  </si>
  <si>
    <t>PMT-02607</t>
  </si>
  <si>
    <t>EXP-2026-0165</t>
  </si>
  <si>
    <t>EXP-2026-0166</t>
  </si>
  <si>
    <t>PROJ-Gend-042</t>
  </si>
  <si>
    <t>PMT-01099</t>
  </si>
  <si>
    <t>EXP-2026-0167</t>
  </si>
  <si>
    <t>PMT-05086</t>
  </si>
  <si>
    <t>EXP-2026-0168</t>
  </si>
  <si>
    <t>PMT-02834</t>
  </si>
  <si>
    <t>EXP-2026-0169</t>
  </si>
  <si>
    <t>PMT-10043</t>
  </si>
  <si>
    <t>EXP-2026-0170</t>
  </si>
  <si>
    <t>PROJ-Clim-045</t>
  </si>
  <si>
    <t>PMT-09113</t>
  </si>
  <si>
    <t>EXP-2026-0171</t>
  </si>
  <si>
    <t>PMT-04464</t>
  </si>
  <si>
    <t>EXP-2026-0172</t>
  </si>
  <si>
    <t>PROJ-Agri-049</t>
  </si>
  <si>
    <t>PMT-03309</t>
  </si>
  <si>
    <t>EXP-2026-0173</t>
  </si>
  <si>
    <t>PMT-10501</t>
  </si>
  <si>
    <t>EXP-2026-0174</t>
  </si>
  <si>
    <t>PMT-01243</t>
  </si>
  <si>
    <t>EXP-2026-0175</t>
  </si>
  <si>
    <t>PMT-07444</t>
  </si>
  <si>
    <t>EXP-2026-0176</t>
  </si>
  <si>
    <t>PMT-01520</t>
  </si>
  <si>
    <t>EXP-2026-0177</t>
  </si>
  <si>
    <t>PROJ-Gend-041</t>
  </si>
  <si>
    <t>PMT-06553</t>
  </si>
  <si>
    <t>EXP-2026-0178</t>
  </si>
  <si>
    <t>PROJ-Nutr-005</t>
  </si>
  <si>
    <t>PMT-06542</t>
  </si>
  <si>
    <t>EXP-2026-0179</t>
  </si>
  <si>
    <t>PMT-03106</t>
  </si>
  <si>
    <t>EXP-2026-0180</t>
  </si>
  <si>
    <t>PMT-03289</t>
  </si>
  <si>
    <t>EXP-2026-0181</t>
  </si>
  <si>
    <t>PMT-07345</t>
  </si>
  <si>
    <t>EXP-2026-0182</t>
  </si>
  <si>
    <t>PROJ-Nutr-011</t>
  </si>
  <si>
    <t>PMT-05012</t>
  </si>
  <si>
    <t>EXP-2026-0183</t>
  </si>
  <si>
    <t>PROJ-Emer-009</t>
  </si>
  <si>
    <t>PMT-02997</t>
  </si>
  <si>
    <t>EXP-2026-0184</t>
  </si>
  <si>
    <t>PMT-03683</t>
  </si>
  <si>
    <t>EXP-2026-0185</t>
  </si>
  <si>
    <t>PMT-03416</t>
  </si>
  <si>
    <t>EXP-2026-0186</t>
  </si>
  <si>
    <t>PMT-06096</t>
  </si>
  <si>
    <t>EXP-2026-0187</t>
  </si>
  <si>
    <t>PMT-02056</t>
  </si>
  <si>
    <t>EXP-2026-0188</t>
  </si>
  <si>
    <t>PMT-07165</t>
  </si>
  <si>
    <t>EXP-2026-0189</t>
  </si>
  <si>
    <t>PMT-01771</t>
  </si>
  <si>
    <t>EXP-2026-0190</t>
  </si>
  <si>
    <t>PMT-10726</t>
  </si>
  <si>
    <t>EXP-2026-0191</t>
  </si>
  <si>
    <t>PMT-06105</t>
  </si>
  <si>
    <t>EXP-2026-0192</t>
  </si>
  <si>
    <t>PROJ-Poli-030</t>
  </si>
  <si>
    <t>PMT-04399</t>
  </si>
  <si>
    <t>EXP-2026-0193</t>
  </si>
  <si>
    <t>PROJ-Poli-046</t>
  </si>
  <si>
    <t>PMT-05370</t>
  </si>
  <si>
    <t>EXP-2026-0194</t>
  </si>
  <si>
    <t>PROJ-Poli-044</t>
  </si>
  <si>
    <t>PMT-05643</t>
  </si>
  <si>
    <t>EXP-2026-0195</t>
  </si>
  <si>
    <t>PROJ-Clim-011</t>
  </si>
  <si>
    <t>PMT-09112</t>
  </si>
  <si>
    <t>EXP-2026-0196</t>
  </si>
  <si>
    <t>PROJ-Poli-047</t>
  </si>
  <si>
    <t>PMT-07489</t>
  </si>
  <si>
    <t>EXP-2026-0197</t>
  </si>
  <si>
    <t>PROJ-Agri-042</t>
  </si>
  <si>
    <t>PMT-06091</t>
  </si>
  <si>
    <t>EXP-2026-0198</t>
  </si>
  <si>
    <t>PMT-08332</t>
  </si>
  <si>
    <t>EXP-2026-0199</t>
  </si>
  <si>
    <t>PMT-03706</t>
  </si>
  <si>
    <t>EXP-2026-0200</t>
  </si>
  <si>
    <t>PMT-08776</t>
  </si>
  <si>
    <t>Timestamp</t>
  </si>
  <si>
    <t>User</t>
  </si>
  <si>
    <t>Action</t>
  </si>
  <si>
    <t>Table_Affected</t>
  </si>
  <si>
    <t>Record_ID</t>
  </si>
  <si>
    <t>Old_Value</t>
  </si>
  <si>
    <t>New_Value</t>
  </si>
  <si>
    <t>MBUYUO</t>
  </si>
  <si>
    <t>System Generated</t>
  </si>
  <si>
    <t>All Tables</t>
  </si>
  <si>
    <t>N/A</t>
  </si>
  <si>
    <t>Initial Setup</t>
  </si>
  <si>
    <t>Total Revenue Received (USD):</t>
  </si>
  <si>
    <t>Total Allocated to Projects (USD):</t>
  </si>
  <si>
    <t>Total Expenditures (Disbursed) (USD):</t>
  </si>
  <si>
    <t>Total Commitments (Obligations) (USD):</t>
  </si>
  <si>
    <t>CURRENT OPERATIONAL RESERVE:</t>
  </si>
  <si>
    <t>Reserve Ratio (% of Revenue):</t>
  </si>
  <si>
    <t>Row Labels</t>
  </si>
  <si>
    <t>Grand Total</t>
  </si>
  <si>
    <t>Column Labels</t>
  </si>
  <si>
    <t>Total Contribution</t>
  </si>
  <si>
    <t>Donor Contribution Summary</t>
  </si>
  <si>
    <t>Total Allocated</t>
  </si>
  <si>
    <t>Allocation by Thematic Pillar</t>
  </si>
  <si>
    <t>Disbursed</t>
  </si>
  <si>
    <t>Monthly Expenditure by Category</t>
  </si>
  <si>
    <t>FILTERS:</t>
  </si>
  <si>
    <t>Total Revenue (USD)</t>
  </si>
  <si>
    <t>Total Allocated (USD)</t>
  </si>
  <si>
    <t>Total Disbursed (USD)</t>
  </si>
  <si>
    <t>Operational Reserve</t>
  </si>
  <si>
    <t>Donor</t>
  </si>
  <si>
    <t>Unspent Balance</t>
  </si>
  <si>
    <t>Sida</t>
  </si>
  <si>
    <t>EU</t>
  </si>
  <si>
    <t>DONOR FINANCIAL REPORT - EU/SECO COMPLIANT FORMAT</t>
  </si>
  <si>
    <t>Reporting Period:</t>
  </si>
  <si>
    <t>01/01/2026 - 04-15-2026</t>
  </si>
  <si>
    <t>Donor Name:</t>
  </si>
  <si>
    <t>[Select from dropdown]</t>
  </si>
  <si>
    <t>Project Code</t>
  </si>
  <si>
    <t>Thematic Pillar</t>
  </si>
  <si>
    <t>Total Budget</t>
  </si>
  <si>
    <t>Expenditure YTD</t>
  </si>
  <si>
    <t>Commitments</t>
  </si>
  <si>
    <t>Available Balance</t>
  </si>
  <si>
    <t>Utilization %</t>
  </si>
  <si>
    <t>Status</t>
  </si>
  <si>
    <t>Notes</t>
  </si>
  <si>
    <t>PROJ-AGRI-001</t>
  </si>
  <si>
    <t>Agribusiness</t>
  </si>
  <si>
    <t>On Track</t>
  </si>
  <si>
    <t>Details for Total Allocated - Thematic_Pillar: Agribusiness &amp; Value Chains</t>
  </si>
  <si>
    <t>Details for Total Allocated - Thematic_Pillar: Climate Resilience</t>
  </si>
  <si>
    <t>Details for Total Allocated - Thematic_Pillar: Emergency Response</t>
  </si>
  <si>
    <t>Details for Total Allocated - Thematic_Pillar: Gender &amp; Youth Empowerment</t>
  </si>
  <si>
    <t>Details for Total Allocated - Thematic_Pillar: Nutrition &amp; Food Security</t>
  </si>
  <si>
    <t>Details for Total Allocated - Thematic_Pillar: Policy &amp; Governance</t>
  </si>
  <si>
    <t>Details for Total Allocated</t>
  </si>
  <si>
    <t>FINANCIAL TRACKING &amp; REPORTING COMMAND CENTER</t>
  </si>
  <si>
    <t>FINANCIAL RESERVE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</si>
</sst>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0.0000"/>
    <numFmt numFmtId="166" formatCode="&quot;€&quot;#,##0.00"/>
    <numFmt numFmtId="167" formatCode="mm/dd/yyyy\ hh:mm"/>
    <numFmt numFmtId="168" formatCode="0.0%"/>
    <numFmt numFmtId="169" formatCode="&quot;€&quot;#,##0"/>
  </numFmts>
  <fonts count="9"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6"/>
      <color theme="1"/>
      <name val="Aptos Narrow"/>
      <family val="2"/>
      <scheme val="minor"/>
    </font>
    <font>
      <b/>
      <sz val="18"/>
      <color theme="1"/>
      <name val="Aptos Narrow"/>
      <family val="2"/>
      <scheme val="minor"/>
    </font>
    <font>
      <b/>
      <sz val="14"/>
      <color theme="1"/>
      <name val="Aptos Narrow"/>
      <family val="2"/>
      <scheme val="minor"/>
    </font>
    <font>
      <b/>
      <sz val="18"/>
      <color rgb="FFFFFFFF"/>
      <name val="Aptos Narrow"/>
      <family val="2"/>
      <scheme val="minor"/>
    </font>
    <font>
      <b/>
      <sz val="20"/>
      <color rgb="FFFFFFFF"/>
      <name val="Aptos Narrow"/>
      <family val="2"/>
      <scheme val="minor"/>
    </font>
    <font>
      <b/>
      <sz val="20"/>
      <color theme="1"/>
      <name val="Aptos Narrow"/>
      <family val="2"/>
      <scheme val="minor"/>
    </font>
  </fonts>
  <fills count="7">
    <fill>
      <patternFill patternType="none"/>
    </fill>
    <fill>
      <patternFill patternType="gray125"/>
    </fill>
    <fill>
      <patternFill patternType="solid">
        <fgColor rgb="FF006633"/>
        <bgColor indexed="64"/>
      </patternFill>
    </fill>
    <fill>
      <patternFill patternType="solid">
        <fgColor rgb="FF003366"/>
        <bgColor indexed="64"/>
      </patternFill>
    </fill>
    <fill>
      <patternFill patternType="solid">
        <fgColor rgb="FF990000"/>
        <bgColor indexed="64"/>
      </patternFill>
    </fill>
    <fill>
      <patternFill patternType="solid">
        <fgColor rgb="FF646464"/>
        <bgColor indexed="64"/>
      </patternFill>
    </fill>
    <fill>
      <patternFill patternType="solid">
        <fgColor rgb="FFFFC00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1">
    <xf numFmtId="0" fontId="0" fillId="0" borderId="0" xfId="0"/>
    <xf numFmtId="0" fontId="1" fillId="0" borderId="0" xfId="0" applyFont="1"/>
    <xf numFmtId="0" fontId="2" fillId="2" borderId="0" xfId="0" applyFont="1" applyFill="1" applyAlignment="1">
      <alignment horizontal="center"/>
    </xf>
    <xf numFmtId="14" fontId="0" fillId="0" borderId="0" xfId="0" applyNumberFormat="1"/>
    <xf numFmtId="22" fontId="0" fillId="0" borderId="0" xfId="0" applyNumberFormat="1"/>
    <xf numFmtId="164" fontId="2" fillId="2" borderId="0" xfId="0" applyNumberFormat="1" applyFont="1" applyFill="1" applyAlignment="1">
      <alignment horizontal="center"/>
    </xf>
    <xf numFmtId="164" fontId="0" fillId="0" borderId="0" xfId="0" applyNumberFormat="1"/>
    <xf numFmtId="3" fontId="2" fillId="2" borderId="0" xfId="0" applyNumberFormat="1" applyFont="1" applyFill="1" applyAlignment="1">
      <alignment horizontal="center"/>
    </xf>
    <xf numFmtId="3" fontId="0" fillId="0" borderId="0" xfId="0" applyNumberFormat="1"/>
    <xf numFmtId="165" fontId="2" fillId="2" borderId="0" xfId="0" applyNumberFormat="1" applyFont="1" applyFill="1" applyAlignment="1">
      <alignment horizontal="center"/>
    </xf>
    <xf numFmtId="165" fontId="0" fillId="0" borderId="0" xfId="0" applyNumberFormat="1"/>
    <xf numFmtId="166" fontId="2" fillId="2" borderId="0" xfId="0" applyNumberFormat="1" applyFont="1" applyFill="1" applyAlignment="1">
      <alignment horizontal="center"/>
    </xf>
    <xf numFmtId="166" fontId="0" fillId="0" borderId="0" xfId="0" applyNumberFormat="1"/>
    <xf numFmtId="167" fontId="2" fillId="2" borderId="0" xfId="0" applyNumberFormat="1" applyFont="1" applyFill="1" applyAlignment="1">
      <alignment horizontal="center"/>
    </xf>
    <xf numFmtId="167" fontId="0" fillId="0" borderId="0" xfId="0" applyNumberFormat="1"/>
    <xf numFmtId="0" fontId="2" fillId="3" borderId="0" xfId="0" applyFont="1" applyFill="1"/>
    <xf numFmtId="0" fontId="2" fillId="3" borderId="0" xfId="0" applyFont="1" applyFill="1" applyAlignment="1">
      <alignment horizontal="center"/>
    </xf>
    <xf numFmtId="166" fontId="2" fillId="3" borderId="0" xfId="0" applyNumberFormat="1" applyFont="1" applyFill="1" applyAlignment="1">
      <alignment horizontal="center"/>
    </xf>
    <xf numFmtId="164" fontId="2" fillId="3" borderId="0" xfId="0" applyNumberFormat="1" applyFont="1" applyFill="1" applyAlignment="1">
      <alignment horizontal="center"/>
    </xf>
    <xf numFmtId="167" fontId="2" fillId="3" borderId="0" xfId="0" applyNumberFormat="1" applyFont="1" applyFill="1" applyAlignment="1">
      <alignment horizontal="center"/>
    </xf>
    <xf numFmtId="0" fontId="2" fillId="4" borderId="0" xfId="0" applyFont="1" applyFill="1" applyAlignment="1">
      <alignment horizontal="center"/>
    </xf>
    <xf numFmtId="164" fontId="2" fillId="4" borderId="0" xfId="0" applyNumberFormat="1" applyFont="1" applyFill="1" applyAlignment="1">
      <alignment horizontal="center"/>
    </xf>
    <xf numFmtId="166" fontId="2" fillId="4" borderId="0" xfId="0" applyNumberFormat="1" applyFont="1" applyFill="1" applyAlignment="1">
      <alignment horizontal="center"/>
    </xf>
    <xf numFmtId="167" fontId="2" fillId="4" borderId="0" xfId="0" applyNumberFormat="1" applyFont="1" applyFill="1" applyAlignment="1">
      <alignment horizontal="center"/>
    </xf>
    <xf numFmtId="0" fontId="2" fillId="5" borderId="0" xfId="0" applyFont="1" applyFill="1"/>
    <xf numFmtId="0" fontId="3" fillId="0" borderId="0" xfId="0" applyFont="1"/>
    <xf numFmtId="166" fontId="4" fillId="0" borderId="0" xfId="0" applyNumberFormat="1" applyFont="1"/>
    <xf numFmtId="168"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5" fillId="0" borderId="0" xfId="0" applyFont="1"/>
    <xf numFmtId="164" fontId="0" fillId="0" borderId="0" xfId="0" applyNumberFormat="1" applyAlignment="1">
      <alignment horizontal="left"/>
    </xf>
    <xf numFmtId="0" fontId="6" fillId="3" borderId="0" xfId="0" applyFont="1" applyFill="1" applyAlignment="1">
      <alignment horizontal="center"/>
    </xf>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xf numFmtId="0" fontId="2" fillId="2" borderId="4" xfId="0" applyFont="1" applyFill="1" applyBorder="1" applyAlignment="1">
      <alignment horizontal="center" vertical="top"/>
    </xf>
    <xf numFmtId="0" fontId="2" fillId="2" borderId="0" xfId="0" applyFont="1" applyFill="1" applyBorder="1" applyAlignment="1">
      <alignment horizontal="center" vertical="top"/>
    </xf>
    <xf numFmtId="0" fontId="2" fillId="2" borderId="5" xfId="0" applyFont="1" applyFill="1" applyBorder="1" applyAlignment="1">
      <alignment horizontal="center" vertical="top"/>
    </xf>
    <xf numFmtId="169" fontId="7" fillId="2" borderId="4" xfId="0" applyNumberFormat="1" applyFont="1" applyFill="1" applyBorder="1" applyAlignment="1">
      <alignment horizontal="center" vertical="top"/>
    </xf>
    <xf numFmtId="0" fontId="2" fillId="2" borderId="6" xfId="0" applyFont="1" applyFill="1" applyBorder="1" applyAlignment="1">
      <alignment horizontal="center" vertical="top"/>
    </xf>
    <xf numFmtId="0" fontId="2" fillId="2" borderId="7" xfId="0" applyFont="1" applyFill="1" applyBorder="1" applyAlignment="1">
      <alignment horizontal="center" vertical="top"/>
    </xf>
    <xf numFmtId="0" fontId="2" fillId="2" borderId="8" xfId="0" applyFont="1" applyFill="1" applyBorder="1" applyAlignment="1">
      <alignment horizontal="center" vertical="top"/>
    </xf>
    <xf numFmtId="0" fontId="2" fillId="3" borderId="4" xfId="0" applyFont="1" applyFill="1" applyBorder="1" applyAlignment="1">
      <alignment horizontal="center" vertical="top"/>
    </xf>
    <xf numFmtId="0" fontId="2" fillId="3" borderId="1" xfId="0" applyFont="1" applyFill="1" applyBorder="1" applyAlignment="1">
      <alignment horizontal="center" vertical="top"/>
    </xf>
    <xf numFmtId="0" fontId="2" fillId="3" borderId="2" xfId="0" applyFont="1" applyFill="1" applyBorder="1" applyAlignment="1">
      <alignment horizontal="center" vertical="top"/>
    </xf>
    <xf numFmtId="0" fontId="2" fillId="3" borderId="3" xfId="0" applyFont="1" applyFill="1" applyBorder="1" applyAlignment="1">
      <alignment horizontal="center" vertical="top"/>
    </xf>
    <xf numFmtId="0" fontId="2" fillId="3" borderId="0" xfId="0" applyFont="1" applyFill="1" applyBorder="1" applyAlignment="1">
      <alignment horizontal="center" vertical="top"/>
    </xf>
    <xf numFmtId="0" fontId="2" fillId="3" borderId="5" xfId="0" applyFont="1" applyFill="1" applyBorder="1" applyAlignment="1">
      <alignment horizontal="center" vertical="top"/>
    </xf>
    <xf numFmtId="169" fontId="7" fillId="3" borderId="4" xfId="0" applyNumberFormat="1" applyFont="1" applyFill="1" applyBorder="1" applyAlignment="1">
      <alignment horizontal="center" vertical="top"/>
    </xf>
    <xf numFmtId="0" fontId="2" fillId="3" borderId="6" xfId="0" applyFont="1" applyFill="1" applyBorder="1" applyAlignment="1">
      <alignment horizontal="center" vertical="top"/>
    </xf>
    <xf numFmtId="0" fontId="2" fillId="3" borderId="7" xfId="0" applyFont="1" applyFill="1" applyBorder="1" applyAlignment="1">
      <alignment horizontal="center" vertical="top"/>
    </xf>
    <xf numFmtId="0" fontId="2" fillId="3" borderId="8" xfId="0" applyFont="1" applyFill="1" applyBorder="1" applyAlignment="1">
      <alignment horizontal="center" vertical="top"/>
    </xf>
    <xf numFmtId="0" fontId="2" fillId="4" borderId="4" xfId="0" applyFont="1" applyFill="1" applyBorder="1" applyAlignment="1">
      <alignment horizontal="center" vertical="top"/>
    </xf>
    <xf numFmtId="0" fontId="2" fillId="4" borderId="1" xfId="0" applyFont="1" applyFill="1" applyBorder="1" applyAlignment="1">
      <alignment horizontal="center" vertical="top"/>
    </xf>
    <xf numFmtId="0" fontId="2" fillId="4" borderId="2" xfId="0" applyFont="1" applyFill="1" applyBorder="1" applyAlignment="1">
      <alignment horizontal="center" vertical="top"/>
    </xf>
    <xf numFmtId="0" fontId="2" fillId="4" borderId="3" xfId="0" applyFont="1" applyFill="1" applyBorder="1" applyAlignment="1">
      <alignment horizontal="center" vertical="top"/>
    </xf>
    <xf numFmtId="0" fontId="2" fillId="4" borderId="0" xfId="0" applyFont="1" applyFill="1" applyBorder="1" applyAlignment="1">
      <alignment horizontal="center" vertical="top"/>
    </xf>
    <xf numFmtId="0" fontId="2" fillId="4" borderId="5" xfId="0" applyFont="1" applyFill="1" applyBorder="1" applyAlignment="1">
      <alignment horizontal="center" vertical="top"/>
    </xf>
    <xf numFmtId="169" fontId="7" fillId="4" borderId="4" xfId="0" applyNumberFormat="1" applyFont="1" applyFill="1" applyBorder="1" applyAlignment="1">
      <alignment horizontal="center" vertical="top"/>
    </xf>
    <xf numFmtId="0" fontId="2" fillId="4" borderId="6" xfId="0" applyFont="1" applyFill="1" applyBorder="1" applyAlignment="1">
      <alignment horizontal="center" vertical="top"/>
    </xf>
    <xf numFmtId="0" fontId="2" fillId="4" borderId="7" xfId="0" applyFont="1" applyFill="1" applyBorder="1" applyAlignment="1">
      <alignment horizontal="center" vertical="top"/>
    </xf>
    <xf numFmtId="0" fontId="2" fillId="4" borderId="8" xfId="0" applyFont="1" applyFill="1" applyBorder="1" applyAlignment="1">
      <alignment horizontal="center" vertical="top"/>
    </xf>
    <xf numFmtId="0" fontId="1" fillId="6" borderId="9" xfId="0" applyFont="1" applyFill="1" applyBorder="1" applyAlignment="1">
      <alignment horizontal="center" vertical="top"/>
    </xf>
    <xf numFmtId="0" fontId="1" fillId="6" borderId="10" xfId="0" applyFont="1" applyFill="1" applyBorder="1" applyAlignment="1">
      <alignment horizontal="center" vertical="top"/>
    </xf>
    <xf numFmtId="169" fontId="8" fillId="6" borderId="10" xfId="0" applyNumberFormat="1" applyFont="1" applyFill="1" applyBorder="1" applyAlignment="1">
      <alignment horizontal="center" vertical="top"/>
    </xf>
    <xf numFmtId="0" fontId="1" fillId="6" borderId="11" xfId="0" applyFont="1" applyFill="1" applyBorder="1" applyAlignment="1">
      <alignment horizontal="center" vertical="top"/>
    </xf>
    <xf numFmtId="9" fontId="0" fillId="0" borderId="0" xfId="0" applyNumberFormat="1"/>
    <xf numFmtId="169" fontId="2" fillId="3" borderId="0" xfId="0" applyNumberFormat="1" applyFont="1" applyFill="1"/>
    <xf numFmtId="4" fontId="0" fillId="0" borderId="0" xfId="0" applyNumberFormat="1"/>
  </cellXfs>
  <cellStyles count="1">
    <cellStyle name="Normal" xfId="0" builtinId="0"/>
  </cellStyles>
  <dxfs count="34">
    <dxf>
      <numFmt numFmtId="27" formatCode="yyyy/mm/dd\ hh:mm"/>
    </dxf>
    <dxf>
      <numFmt numFmtId="19" formatCode="yyyy/mm/dd"/>
    </dxf>
    <dxf>
      <numFmt numFmtId="27" formatCode="yyyy/mm/dd\ hh:mm"/>
    </dxf>
    <dxf>
      <numFmt numFmtId="19" formatCode="yyyy/mm/dd"/>
    </dxf>
    <dxf>
      <numFmt numFmtId="27" formatCode="yyyy/mm/dd\ hh:mm"/>
    </dxf>
    <dxf>
      <numFmt numFmtId="19" formatCode="yyyy/mm/dd"/>
    </dxf>
    <dxf>
      <numFmt numFmtId="27" formatCode="yyyy/mm/dd\ hh:mm"/>
    </dxf>
    <dxf>
      <numFmt numFmtId="19" formatCode="yyyy/mm/dd"/>
    </dxf>
    <dxf>
      <numFmt numFmtId="27" formatCode="yyyy/mm/dd\ hh:mm"/>
    </dxf>
    <dxf>
      <numFmt numFmtId="19" formatCode="yyyy/mm/dd"/>
    </dxf>
    <dxf>
      <numFmt numFmtId="27" formatCode="yyyy/mm/dd\ hh:mm"/>
    </dxf>
    <dxf>
      <numFmt numFmtId="19" formatCode="yyyy/mm/dd"/>
    </dxf>
    <dxf>
      <numFmt numFmtId="27" formatCode="yyyy/mm/dd\ hh:mm"/>
    </dxf>
    <dxf>
      <numFmt numFmtId="19" formatCode="yyyy/mm/dd"/>
    </dxf>
    <dxf>
      <numFmt numFmtId="27" formatCode="yyyy/mm/dd\ hh:mm"/>
    </dxf>
    <dxf>
      <numFmt numFmtId="19" formatCode="yyyy/mm/dd"/>
    </dxf>
    <dxf>
      <fill>
        <patternFill>
          <bgColor rgb="FFFF0000"/>
        </patternFill>
      </fill>
    </dxf>
    <dxf>
      <fill>
        <patternFill>
          <bgColor rgb="FFFFC000"/>
        </patternFill>
      </fill>
    </dxf>
    <dxf>
      <fill>
        <patternFill>
          <bgColor rgb="FF00B050"/>
        </patternFill>
      </fill>
    </dxf>
    <dxf>
      <font>
        <b/>
        <i val="0"/>
        <strike val="0"/>
        <condense val="0"/>
        <extend val="0"/>
        <outline val="0"/>
        <shadow val="0"/>
        <u val="none"/>
        <vertAlign val="baseline"/>
        <sz val="11"/>
        <color rgb="FFFFFFFF"/>
        <name val="Aptos Narrow"/>
        <family val="2"/>
        <scheme val="minor"/>
      </font>
      <fill>
        <patternFill patternType="solid">
          <fgColor indexed="64"/>
          <bgColor rgb="FF990000"/>
        </patternFill>
      </fill>
      <alignment horizontal="center" vertical="bottom" textRotation="0" wrapText="0" indent="0" justifyLastLine="0" shrinkToFit="0" readingOrder="0"/>
    </dxf>
    <dxf>
      <numFmt numFmtId="167" formatCode="mm/dd/yyyy\ hh:mm"/>
    </dxf>
    <dxf>
      <numFmt numFmtId="166" formatCode="&quot;€&quot;#,##0.00"/>
    </dxf>
    <dxf>
      <numFmt numFmtId="166" formatCode="&quot;€&quot;#,##0.00"/>
    </dxf>
    <dxf>
      <numFmt numFmtId="164" formatCode="mm/dd/yyyy"/>
    </dxf>
    <dxf>
      <numFmt numFmtId="167" formatCode="mm/dd/yyyy\ hh:mm"/>
    </dxf>
    <dxf>
      <numFmt numFmtId="164" formatCode="mm/dd/yyyy"/>
    </dxf>
    <dxf>
      <numFmt numFmtId="166" formatCode="&quot;€&quot;#,##0.00"/>
    </dxf>
    <dxf>
      <font>
        <b/>
        <i val="0"/>
        <strike val="0"/>
        <condense val="0"/>
        <extend val="0"/>
        <outline val="0"/>
        <shadow val="0"/>
        <u val="none"/>
        <vertAlign val="baseline"/>
        <sz val="11"/>
        <color rgb="FFFFFFFF"/>
        <name val="Aptos Narrow"/>
        <family val="2"/>
        <scheme val="minor"/>
      </font>
      <fill>
        <patternFill patternType="solid">
          <fgColor indexed="64"/>
          <bgColor rgb="FF006633"/>
        </patternFill>
      </fill>
      <alignment horizontal="center" vertical="bottom" textRotation="0" wrapText="0" indent="0" justifyLastLine="0" shrinkToFit="0" readingOrder="0"/>
    </dxf>
    <dxf>
      <numFmt numFmtId="167" formatCode="mm/dd/yyyy\ hh:mm"/>
    </dxf>
    <dxf>
      <numFmt numFmtId="164" formatCode="mm/dd/yyyy"/>
    </dxf>
    <dxf>
      <numFmt numFmtId="166" formatCode="&quot;€&quot;#,##0.00"/>
    </dxf>
    <dxf>
      <numFmt numFmtId="165" formatCode="0.0000"/>
    </dxf>
    <dxf>
      <numFmt numFmtId="3" formatCode="#,##0"/>
    </dxf>
    <dxf>
      <numFmt numFmtId="164" formatCode="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Tracking System.xlsx]Pivot_Donor_Summary!Donor_Summary</c:name>
    <c:fmtId val="0"/>
  </c:pivotSource>
  <c:chart>
    <c:title>
      <c:tx>
        <c:rich>
          <a:bodyPr/>
          <a:lstStyle/>
          <a:p>
            <a:pPr>
              <a:defRPr sz="1200" b="1"/>
            </a:pPr>
            <a:r>
              <a:rPr lang="en-GB"/>
              <a:t>Donor Contributions by Funding Stream</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Pivot_Donor_Summary!$B$3:$B$4</c:f>
              <c:strCache>
                <c:ptCount val="1"/>
                <c:pt idx="0">
                  <c:v>Bilateral - Earmarked</c:v>
                </c:pt>
              </c:strCache>
            </c:strRef>
          </c:tx>
          <c:invertIfNegative val="0"/>
          <c:cat>
            <c:strRef>
              <c:f>Pivot_Donor_Summary!$A$5:$A$6</c:f>
              <c:strCache>
                <c:ptCount val="1"/>
                <c:pt idx="0">
                  <c:v>Regular Budget (RB)</c:v>
                </c:pt>
              </c:strCache>
            </c:strRef>
          </c:cat>
          <c:val>
            <c:numRef>
              <c:f>Pivot_Donor_Summary!$B$5:$B$6</c:f>
              <c:numCache>
                <c:formatCode>"€"#\ ##0</c:formatCode>
                <c:ptCount val="1"/>
                <c:pt idx="0">
                  <c:v>3880544.92</c:v>
                </c:pt>
              </c:numCache>
            </c:numRef>
          </c:val>
          <c:extLst>
            <c:ext xmlns:c16="http://schemas.microsoft.com/office/drawing/2014/chart" uri="{C3380CC4-5D6E-409C-BE32-E72D297353CC}">
              <c16:uniqueId val="{00000001-F72F-45B3-AF4C-BC5F8AB3D99A}"/>
            </c:ext>
          </c:extLst>
        </c:ser>
        <c:ser>
          <c:idx val="1"/>
          <c:order val="1"/>
          <c:tx>
            <c:strRef>
              <c:f>Pivot_Donor_Summary!$C$3:$C$4</c:f>
              <c:strCache>
                <c:ptCount val="1"/>
                <c:pt idx="0">
                  <c:v>Bilateral - Soft Earmarked</c:v>
                </c:pt>
              </c:strCache>
            </c:strRef>
          </c:tx>
          <c:invertIfNegative val="0"/>
          <c:cat>
            <c:strRef>
              <c:f>Pivot_Donor_Summary!$A$5:$A$6</c:f>
              <c:strCache>
                <c:ptCount val="1"/>
                <c:pt idx="0">
                  <c:v>Regular Budget (RB)</c:v>
                </c:pt>
              </c:strCache>
            </c:strRef>
          </c:cat>
          <c:val>
            <c:numRef>
              <c:f>Pivot_Donor_Summary!$C$5:$C$6</c:f>
              <c:numCache>
                <c:formatCode>"€"#\ ##0</c:formatCode>
                <c:ptCount val="1"/>
                <c:pt idx="0">
                  <c:v>7985233.834999999</c:v>
                </c:pt>
              </c:numCache>
            </c:numRef>
          </c:val>
          <c:extLst>
            <c:ext xmlns:c16="http://schemas.microsoft.com/office/drawing/2014/chart" uri="{C3380CC4-5D6E-409C-BE32-E72D297353CC}">
              <c16:uniqueId val="{00000010-F72F-45B3-AF4C-BC5F8AB3D99A}"/>
            </c:ext>
          </c:extLst>
        </c:ser>
        <c:ser>
          <c:idx val="2"/>
          <c:order val="2"/>
          <c:tx>
            <c:strRef>
              <c:f>Pivot_Donor_Summary!$D$3:$D$4</c:f>
              <c:strCache>
                <c:ptCount val="1"/>
                <c:pt idx="0">
                  <c:v>Regular Budget (RB)</c:v>
                </c:pt>
              </c:strCache>
            </c:strRef>
          </c:tx>
          <c:invertIfNegative val="0"/>
          <c:cat>
            <c:strRef>
              <c:f>Pivot_Donor_Summary!$A$5:$A$6</c:f>
              <c:strCache>
                <c:ptCount val="1"/>
                <c:pt idx="0">
                  <c:v>Regular Budget (RB)</c:v>
                </c:pt>
              </c:strCache>
            </c:strRef>
          </c:cat>
          <c:val>
            <c:numRef>
              <c:f>Pivot_Donor_Summary!$D$5:$D$6</c:f>
              <c:numCache>
                <c:formatCode>"€"#\ ##0</c:formatCode>
                <c:ptCount val="1"/>
                <c:pt idx="0">
                  <c:v>7722609.3500000006</c:v>
                </c:pt>
              </c:numCache>
            </c:numRef>
          </c:val>
          <c:extLst>
            <c:ext xmlns:c16="http://schemas.microsoft.com/office/drawing/2014/chart" uri="{C3380CC4-5D6E-409C-BE32-E72D297353CC}">
              <c16:uniqueId val="{00000013-F72F-45B3-AF4C-BC5F8AB3D99A}"/>
            </c:ext>
          </c:extLst>
        </c:ser>
        <c:ser>
          <c:idx val="3"/>
          <c:order val="3"/>
          <c:tx>
            <c:strRef>
              <c:f>Pivot_Donor_Summary!$E$3:$E$4</c:f>
              <c:strCache>
                <c:ptCount val="1"/>
                <c:pt idx="0">
                  <c:v>Voluntary Contribution (VC)</c:v>
                </c:pt>
              </c:strCache>
            </c:strRef>
          </c:tx>
          <c:invertIfNegative val="0"/>
          <c:cat>
            <c:strRef>
              <c:f>Pivot_Donor_Summary!$A$5:$A$6</c:f>
              <c:strCache>
                <c:ptCount val="1"/>
                <c:pt idx="0">
                  <c:v>Regular Budget (RB)</c:v>
                </c:pt>
              </c:strCache>
            </c:strRef>
          </c:cat>
          <c:val>
            <c:numRef>
              <c:f>Pivot_Donor_Summary!$E$5:$E$6</c:f>
              <c:numCache>
                <c:formatCode>"€"#\ ##0</c:formatCode>
                <c:ptCount val="1"/>
                <c:pt idx="0">
                  <c:v>5626518.5999999996</c:v>
                </c:pt>
              </c:numCache>
            </c:numRef>
          </c:val>
          <c:extLst>
            <c:ext xmlns:c16="http://schemas.microsoft.com/office/drawing/2014/chart" uri="{C3380CC4-5D6E-409C-BE32-E72D297353CC}">
              <c16:uniqueId val="{00000014-F72F-45B3-AF4C-BC5F8AB3D99A}"/>
            </c:ext>
          </c:extLst>
        </c:ser>
        <c:dLbls>
          <c:showLegendKey val="0"/>
          <c:showVal val="0"/>
          <c:showCatName val="0"/>
          <c:showSerName val="0"/>
          <c:showPercent val="0"/>
          <c:showBubbleSize val="0"/>
        </c:dLbls>
        <c:gapWidth val="150"/>
        <c:axId val="467857592"/>
        <c:axId val="467852912"/>
      </c:barChart>
      <c:catAx>
        <c:axId val="467857592"/>
        <c:scaling>
          <c:orientation val="minMax"/>
        </c:scaling>
        <c:delete val="0"/>
        <c:axPos val="l"/>
        <c:numFmt formatCode="General" sourceLinked="1"/>
        <c:majorTickMark val="out"/>
        <c:minorTickMark val="none"/>
        <c:tickLblPos val="nextTo"/>
        <c:crossAx val="467852912"/>
        <c:crosses val="autoZero"/>
        <c:auto val="1"/>
        <c:lblAlgn val="ctr"/>
        <c:lblOffset val="100"/>
        <c:noMultiLvlLbl val="0"/>
      </c:catAx>
      <c:valAx>
        <c:axId val="467852912"/>
        <c:scaling>
          <c:orientation val="minMax"/>
        </c:scaling>
        <c:delete val="0"/>
        <c:axPos val="b"/>
        <c:majorGridlines/>
        <c:numFmt formatCode="&quot;€&quot;#\ ##0" sourceLinked="1"/>
        <c:majorTickMark val="out"/>
        <c:minorTickMark val="none"/>
        <c:tickLblPos val="nextTo"/>
        <c:crossAx val="46785759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Tracking System.xlsx]Pivot_Pillar_Allocation!Pillar_Allocation</c:name>
    <c:fmtId val="0"/>
  </c:pivotSource>
  <c:chart>
    <c:title>
      <c:tx>
        <c:rich>
          <a:bodyPr/>
          <a:lstStyle/>
          <a:p>
            <a:pPr>
              <a:defRPr sz="1200" b="1"/>
            </a:pPr>
            <a:r>
              <a:rPr lang="en-GB"/>
              <a:t>Fund Allocation by Thematic Pillar</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Pivot_Pillar_Allocation!$B$3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Pivot_Pillar_Allocation!$A$4:$A$5</c:f>
              <c:strCache>
                <c:ptCount val="1"/>
                <c:pt idx="0">
                  <c:v>Emergency Response</c:v>
                </c:pt>
              </c:strCache>
            </c:strRef>
          </c:cat>
          <c:val>
            <c:numRef>
              <c:f>Pivot_Pillar_Allocation!$B$4:$B$5</c:f>
              <c:numCache>
                <c:formatCode>"€"#\ ##0</c:formatCode>
                <c:ptCount val="1"/>
                <c:pt idx="0">
                  <c:v>7394336</c:v>
                </c:pt>
              </c:numCache>
            </c:numRef>
          </c:val>
          <c:extLst>
            <c:ext xmlns:c16="http://schemas.microsoft.com/office/drawing/2014/chart" uri="{C3380CC4-5D6E-409C-BE32-E72D297353CC}">
              <c16:uniqueId val="{00000001-A7FD-46E7-951B-76B12C0A6F9C}"/>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Tracking System.xlsx]Pivot_Expenditure_Timeline!Expenditure_Timeline</c:name>
    <c:fmtId val="0"/>
  </c:pivotSource>
  <c:chart>
    <c:title>
      <c:tx>
        <c:rich>
          <a:bodyPr/>
          <a:lstStyle/>
          <a:p>
            <a:pPr>
              <a:defRPr sz="1200" b="1"/>
            </a:pPr>
            <a:r>
              <a:rPr lang="en-GB"/>
              <a:t>Monthly Expenditure Trend by Category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Pivot_Expenditure_Timeline!$B$3:$B$4</c:f>
              <c:strCache>
                <c:ptCount val="1"/>
                <c:pt idx="0">
                  <c:v>Grants &amp; Transfers</c:v>
                </c:pt>
              </c:strCache>
            </c:strRef>
          </c:tx>
          <c:marker>
            <c:symbol val="none"/>
          </c:marker>
          <c:cat>
            <c:strRef>
              <c:f>Pivot_Expenditure_Timeline!$A$5:$A$44</c:f>
              <c:strCache>
                <c:ptCount val="39"/>
                <c:pt idx="0">
                  <c:v>04-16-2025</c:v>
                </c:pt>
                <c:pt idx="1">
                  <c:v>04-23-2025</c:v>
                </c:pt>
                <c:pt idx="2">
                  <c:v>04-28-2025</c:v>
                </c:pt>
                <c:pt idx="3">
                  <c:v>04-30-2025</c:v>
                </c:pt>
                <c:pt idx="4">
                  <c:v>05-03-2025</c:v>
                </c:pt>
                <c:pt idx="5">
                  <c:v>05-09-2025</c:v>
                </c:pt>
                <c:pt idx="6">
                  <c:v>05-10-2025</c:v>
                </c:pt>
                <c:pt idx="7">
                  <c:v>05-13-2025</c:v>
                </c:pt>
                <c:pt idx="8">
                  <c:v>06-06-2025</c:v>
                </c:pt>
                <c:pt idx="9">
                  <c:v>06-08-2025</c:v>
                </c:pt>
                <c:pt idx="10">
                  <c:v>06-10-2025</c:v>
                </c:pt>
                <c:pt idx="11">
                  <c:v>06-30-2025</c:v>
                </c:pt>
                <c:pt idx="12">
                  <c:v>07-03-2025</c:v>
                </c:pt>
                <c:pt idx="13">
                  <c:v>07-08-2025</c:v>
                </c:pt>
                <c:pt idx="14">
                  <c:v>08-05-2025</c:v>
                </c:pt>
                <c:pt idx="15">
                  <c:v>09-15-2025</c:v>
                </c:pt>
                <c:pt idx="16">
                  <c:v>09-20-2025</c:v>
                </c:pt>
                <c:pt idx="17">
                  <c:v>09-27-2025</c:v>
                </c:pt>
                <c:pt idx="18">
                  <c:v>10-02-2025</c:v>
                </c:pt>
                <c:pt idx="19">
                  <c:v>10-03-2025</c:v>
                </c:pt>
                <c:pt idx="20">
                  <c:v>10-04-2025</c:v>
                </c:pt>
                <c:pt idx="21">
                  <c:v>10-12-2025</c:v>
                </c:pt>
                <c:pt idx="22">
                  <c:v>10-16-2025</c:v>
                </c:pt>
                <c:pt idx="23">
                  <c:v>10-30-2025</c:v>
                </c:pt>
                <c:pt idx="24">
                  <c:v>12-08-2025</c:v>
                </c:pt>
                <c:pt idx="25">
                  <c:v>12-14-2025</c:v>
                </c:pt>
                <c:pt idx="26">
                  <c:v>12-16-2025</c:v>
                </c:pt>
                <c:pt idx="27">
                  <c:v>12-25-2025</c:v>
                </c:pt>
                <c:pt idx="28">
                  <c:v>01-04-2026</c:v>
                </c:pt>
                <c:pt idx="29">
                  <c:v>01-24-2026</c:v>
                </c:pt>
                <c:pt idx="30">
                  <c:v>02-02-2026</c:v>
                </c:pt>
                <c:pt idx="31">
                  <c:v>02-13-2026</c:v>
                </c:pt>
                <c:pt idx="32">
                  <c:v>02-17-2026</c:v>
                </c:pt>
                <c:pt idx="33">
                  <c:v>02-21-2026</c:v>
                </c:pt>
                <c:pt idx="34">
                  <c:v>03-10-2026</c:v>
                </c:pt>
                <c:pt idx="35">
                  <c:v>03-21-2026</c:v>
                </c:pt>
                <c:pt idx="36">
                  <c:v>03-22-2026</c:v>
                </c:pt>
                <c:pt idx="37">
                  <c:v>03-28-2026</c:v>
                </c:pt>
                <c:pt idx="38">
                  <c:v>04-06-2026</c:v>
                </c:pt>
              </c:strCache>
            </c:strRef>
          </c:cat>
          <c:val>
            <c:numRef>
              <c:f>Pivot_Expenditure_Timeline!$B$5:$B$44</c:f>
              <c:numCache>
                <c:formatCode>"€"#\ ##0</c:formatCode>
                <c:ptCount val="39"/>
                <c:pt idx="0">
                  <c:v>7713.1543616950512</c:v>
                </c:pt>
                <c:pt idx="1">
                  <c:v>0</c:v>
                </c:pt>
                <c:pt idx="2">
                  <c:v>0</c:v>
                </c:pt>
                <c:pt idx="3">
                  <c:v>17697.616277951001</c:v>
                </c:pt>
                <c:pt idx="4">
                  <c:v>0</c:v>
                </c:pt>
                <c:pt idx="5">
                  <c:v>0</c:v>
                </c:pt>
                <c:pt idx="6">
                  <c:v>0</c:v>
                </c:pt>
                <c:pt idx="7">
                  <c:v>23922.302096235751</c:v>
                </c:pt>
                <c:pt idx="8">
                  <c:v>23012.800830143689</c:v>
                </c:pt>
                <c:pt idx="9">
                  <c:v>4817.622637367248</c:v>
                </c:pt>
                <c:pt idx="10">
                  <c:v>79743.32759807109</c:v>
                </c:pt>
                <c:pt idx="11">
                  <c:v>22685.283761811253</c:v>
                </c:pt>
                <c:pt idx="12">
                  <c:v>0</c:v>
                </c:pt>
                <c:pt idx="13">
                  <c:v>11358.74987244606</c:v>
                </c:pt>
                <c:pt idx="14">
                  <c:v>0</c:v>
                </c:pt>
                <c:pt idx="15">
                  <c:v>0</c:v>
                </c:pt>
                <c:pt idx="16">
                  <c:v>39350.900779896969</c:v>
                </c:pt>
                <c:pt idx="17">
                  <c:v>39843.446671485901</c:v>
                </c:pt>
                <c:pt idx="18">
                  <c:v>0</c:v>
                </c:pt>
                <c:pt idx="19">
                  <c:v>5279.4988559961312</c:v>
                </c:pt>
                <c:pt idx="20">
                  <c:v>7265.0381356537337</c:v>
                </c:pt>
                <c:pt idx="21">
                  <c:v>0</c:v>
                </c:pt>
                <c:pt idx="22">
                  <c:v>29926.074687629938</c:v>
                </c:pt>
                <c:pt idx="23">
                  <c:v>0</c:v>
                </c:pt>
                <c:pt idx="24">
                  <c:v>21477.053791368005</c:v>
                </c:pt>
                <c:pt idx="25">
                  <c:v>8990.9755921959877</c:v>
                </c:pt>
                <c:pt idx="26">
                  <c:v>29230.754203796387</c:v>
                </c:pt>
                <c:pt idx="27">
                  <c:v>41900.538615542646</c:v>
                </c:pt>
                <c:pt idx="28">
                  <c:v>12320.040598297119</c:v>
                </c:pt>
                <c:pt idx="29">
                  <c:v>38601.115711569786</c:v>
                </c:pt>
                <c:pt idx="30">
                  <c:v>14737.20887711644</c:v>
                </c:pt>
                <c:pt idx="31">
                  <c:v>0</c:v>
                </c:pt>
                <c:pt idx="32">
                  <c:v>21003.780103230474</c:v>
                </c:pt>
                <c:pt idx="33">
                  <c:v>15698.385378599165</c:v>
                </c:pt>
                <c:pt idx="34">
                  <c:v>29760.210944259165</c:v>
                </c:pt>
                <c:pt idx="35">
                  <c:v>8964.6121445298195</c:v>
                </c:pt>
                <c:pt idx="36">
                  <c:v>16812.520100057125</c:v>
                </c:pt>
                <c:pt idx="37">
                  <c:v>11487.733395290374</c:v>
                </c:pt>
                <c:pt idx="38">
                  <c:v>33278.808230912684</c:v>
                </c:pt>
              </c:numCache>
            </c:numRef>
          </c:val>
          <c:smooth val="0"/>
          <c:extLst>
            <c:ext xmlns:c16="http://schemas.microsoft.com/office/drawing/2014/chart" uri="{C3380CC4-5D6E-409C-BE32-E72D297353CC}">
              <c16:uniqueId val="{00000001-C66E-4362-93A2-474C3303C7A8}"/>
            </c:ext>
          </c:extLst>
        </c:ser>
        <c:dLbls>
          <c:showLegendKey val="0"/>
          <c:showVal val="0"/>
          <c:showCatName val="0"/>
          <c:showSerName val="0"/>
          <c:showPercent val="0"/>
          <c:showBubbleSize val="0"/>
        </c:dLbls>
        <c:smooth val="0"/>
        <c:axId val="474239464"/>
        <c:axId val="474241624"/>
      </c:lineChart>
      <c:catAx>
        <c:axId val="474239464"/>
        <c:scaling>
          <c:orientation val="minMax"/>
        </c:scaling>
        <c:delete val="0"/>
        <c:axPos val="b"/>
        <c:numFmt formatCode="General" sourceLinked="1"/>
        <c:majorTickMark val="out"/>
        <c:minorTickMark val="none"/>
        <c:tickLblPos val="nextTo"/>
        <c:crossAx val="474241624"/>
        <c:crosses val="autoZero"/>
        <c:auto val="1"/>
        <c:lblAlgn val="ctr"/>
        <c:lblOffset val="100"/>
        <c:noMultiLvlLbl val="0"/>
      </c:catAx>
      <c:valAx>
        <c:axId val="474241624"/>
        <c:scaling>
          <c:orientation val="minMax"/>
        </c:scaling>
        <c:delete val="0"/>
        <c:axPos val="l"/>
        <c:majorGridlines/>
        <c:numFmt formatCode="&quot;€&quot;#\ ##0" sourceLinked="1"/>
        <c:majorTickMark val="out"/>
        <c:minorTickMark val="none"/>
        <c:tickLblPos val="nextTo"/>
        <c:crossAx val="47423946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GB"/>
              <a:t>Unspent Balances by Major Donor</a:t>
            </a:r>
          </a:p>
        </c:rich>
      </c:tx>
      <c:overlay val="0"/>
    </c:title>
    <c:autoTitleDeleted val="0"/>
    <c:plotArea>
      <c:layout/>
      <c:barChart>
        <c:barDir val="col"/>
        <c:grouping val="clustered"/>
        <c:varyColors val="0"/>
        <c:ser>
          <c:idx val="0"/>
          <c:order val="0"/>
          <c:tx>
            <c:strRef>
              <c:f>EXECUTIVE_DASHBOARD!$Q$1</c:f>
              <c:strCache>
                <c:ptCount val="1"/>
                <c:pt idx="0">
                  <c:v>Unspent Balance</c:v>
                </c:pt>
              </c:strCache>
            </c:strRef>
          </c:tx>
          <c:invertIfNegative val="0"/>
          <c:val>
            <c:numRef>
              <c:f>EXECUTIVE_DASHBOARD!$Q$2:$Q$5</c:f>
            </c:numRef>
          </c:val>
          <c:extLst>
            <c:ext xmlns:c15="http://schemas.microsoft.com/office/drawing/2012/chart" uri="{02D57815-91ED-43cb-92C2-25804820EDAC}">
              <c15:filteredCategoryTitle>
                <c15:cat>
                  <c:strRef>
                    <c:extLst>
                      <c:ext uri="{02D57815-91ED-43cb-92C2-25804820EDAC}">
                        <c15:formulaRef>
                          <c15:sqref>EXECUTIVE_DASHBOARD!$P$2:$P$5</c15:sqref>
                        </c15:formulaRef>
                      </c:ext>
                    </c:extLst>
                  </c:strRef>
                </c15:cat>
              </c15:filteredCategoryTitle>
            </c:ext>
            <c:ext xmlns:c16="http://schemas.microsoft.com/office/drawing/2014/chart" uri="{C3380CC4-5D6E-409C-BE32-E72D297353CC}">
              <c16:uniqueId val="{00000001-361F-4F64-BC38-ADBCC6B878F8}"/>
            </c:ext>
          </c:extLst>
        </c:ser>
        <c:dLbls>
          <c:showLegendKey val="0"/>
          <c:showVal val="0"/>
          <c:showCatName val="0"/>
          <c:showSerName val="0"/>
          <c:showPercent val="0"/>
          <c:showBubbleSize val="0"/>
        </c:dLbls>
        <c:gapWidth val="150"/>
        <c:axId val="580212912"/>
        <c:axId val="580213272"/>
      </c:barChart>
      <c:catAx>
        <c:axId val="580212912"/>
        <c:scaling>
          <c:orientation val="minMax"/>
        </c:scaling>
        <c:delete val="0"/>
        <c:axPos val="b"/>
        <c:majorTickMark val="out"/>
        <c:minorTickMark val="none"/>
        <c:tickLblPos val="nextTo"/>
        <c:crossAx val="580213272"/>
        <c:crosses val="autoZero"/>
        <c:auto val="1"/>
        <c:lblAlgn val="ctr"/>
        <c:lblOffset val="100"/>
        <c:noMultiLvlLbl val="0"/>
      </c:catAx>
      <c:valAx>
        <c:axId val="580213272"/>
        <c:scaling>
          <c:orientation val="minMax"/>
        </c:scaling>
        <c:delete val="0"/>
        <c:axPos val="l"/>
        <c:majorGridlines/>
        <c:majorTickMark val="out"/>
        <c:minorTickMark val="none"/>
        <c:tickLblPos val="nextTo"/>
        <c:crossAx val="58021291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42333</xdr:colOff>
      <xdr:row>10</xdr:row>
      <xdr:rowOff>138994</xdr:rowOff>
    </xdr:from>
    <xdr:to>
      <xdr:col>10</xdr:col>
      <xdr:colOff>296333</xdr:colOff>
      <xdr:row>27</xdr:row>
      <xdr:rowOff>183443</xdr:rowOff>
    </xdr:to>
    <xdr:graphicFrame macro="">
      <xdr:nvGraphicFramePr>
        <xdr:cNvPr id="2" name="Chart 1">
          <a:extLst>
            <a:ext uri="{FF2B5EF4-FFF2-40B4-BE49-F238E27FC236}">
              <a16:creationId xmlns:a16="http://schemas.microsoft.com/office/drawing/2014/main" id="{AD001088-F447-FF0E-FE8D-96A687CF5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345722</xdr:colOff>
      <xdr:row>10</xdr:row>
      <xdr:rowOff>131939</xdr:rowOff>
    </xdr:from>
    <xdr:to>
      <xdr:col>19</xdr:col>
      <xdr:colOff>571500</xdr:colOff>
      <xdr:row>27</xdr:row>
      <xdr:rowOff>176388</xdr:rowOff>
    </xdr:to>
    <xdr:graphicFrame macro="">
      <xdr:nvGraphicFramePr>
        <xdr:cNvPr id="3" name="Chart 2">
          <a:extLst>
            <a:ext uri="{FF2B5EF4-FFF2-40B4-BE49-F238E27FC236}">
              <a16:creationId xmlns:a16="http://schemas.microsoft.com/office/drawing/2014/main" id="{D6AE83BD-AFEA-D6B7-5DA1-F638C7673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42333</xdr:colOff>
      <xdr:row>28</xdr:row>
      <xdr:rowOff>76200</xdr:rowOff>
    </xdr:from>
    <xdr:to>
      <xdr:col>10</xdr:col>
      <xdr:colOff>296333</xdr:colOff>
      <xdr:row>45</xdr:row>
      <xdr:rowOff>120650</xdr:rowOff>
    </xdr:to>
    <xdr:graphicFrame macro="">
      <xdr:nvGraphicFramePr>
        <xdr:cNvPr id="4" name="Chart 3">
          <a:extLst>
            <a:ext uri="{FF2B5EF4-FFF2-40B4-BE49-F238E27FC236}">
              <a16:creationId xmlns:a16="http://schemas.microsoft.com/office/drawing/2014/main" id="{01B940D2-9ABD-FEF8-8FF9-55EF164D2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366888</xdr:colOff>
      <xdr:row>28</xdr:row>
      <xdr:rowOff>83256</xdr:rowOff>
    </xdr:from>
    <xdr:to>
      <xdr:col>19</xdr:col>
      <xdr:colOff>592666</xdr:colOff>
      <xdr:row>45</xdr:row>
      <xdr:rowOff>127706</xdr:rowOff>
    </xdr:to>
    <xdr:graphicFrame macro="">
      <xdr:nvGraphicFramePr>
        <xdr:cNvPr id="5" name="Chart 4">
          <a:extLst>
            <a:ext uri="{FF2B5EF4-FFF2-40B4-BE49-F238E27FC236}">
              <a16:creationId xmlns:a16="http://schemas.microsoft.com/office/drawing/2014/main" id="{BB8DC226-3632-7A17-FBBD-652369843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39512</xdr:colOff>
      <xdr:row>0</xdr:row>
      <xdr:rowOff>63500</xdr:rowOff>
    </xdr:from>
    <xdr:to>
      <xdr:col>23</xdr:col>
      <xdr:colOff>115711</xdr:colOff>
      <xdr:row>13</xdr:row>
      <xdr:rowOff>71260</xdr:rowOff>
    </xdr:to>
    <mc:AlternateContent xmlns:mc="http://schemas.openxmlformats.org/markup-compatibility/2006">
      <mc:Choice xmlns:a14="http://schemas.microsoft.com/office/drawing/2010/main" Requires="a14">
        <xdr:graphicFrame macro="">
          <xdr:nvGraphicFramePr>
            <xdr:cNvPr id="6" name="Donor_Name">
              <a:extLst>
                <a:ext uri="{FF2B5EF4-FFF2-40B4-BE49-F238E27FC236}">
                  <a16:creationId xmlns:a16="http://schemas.microsoft.com/office/drawing/2014/main" id="{4D215D17-67A0-E2A2-420B-450B10474314}"/>
                </a:ext>
              </a:extLst>
            </xdr:cNvPr>
            <xdr:cNvGraphicFramePr/>
          </xdr:nvGraphicFramePr>
          <xdr:xfrm>
            <a:off x="0" y="0"/>
            <a:ext cx="0" cy="0"/>
          </xdr:xfrm>
          <a:graphic>
            <a:graphicData uri="http://schemas.microsoft.com/office/drawing/2010/slicer">
              <sle:slicer xmlns:sle="http://schemas.microsoft.com/office/drawing/2010/slicer" name="Donor_Name"/>
            </a:graphicData>
          </a:graphic>
        </xdr:graphicFrame>
      </mc:Choice>
      <mc:Fallback>
        <xdr:sp macro="" textlink="">
          <xdr:nvSpPr>
            <xdr:cNvPr id="0" name=""/>
            <xdr:cNvSpPr>
              <a:spLocks noTextEdit="1"/>
            </xdr:cNvSpPr>
          </xdr:nvSpPr>
          <xdr:spPr>
            <a:xfrm>
              <a:off x="11188446" y="63500"/>
              <a:ext cx="1918740" cy="27039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194733</xdr:colOff>
      <xdr:row>0</xdr:row>
      <xdr:rowOff>76906</xdr:rowOff>
    </xdr:from>
    <xdr:to>
      <xdr:col>14</xdr:col>
      <xdr:colOff>270933</xdr:colOff>
      <xdr:row>10</xdr:row>
      <xdr:rowOff>56444</xdr:rowOff>
    </xdr:to>
    <mc:AlternateContent xmlns:mc="http://schemas.openxmlformats.org/markup-compatibility/2006">
      <mc:Choice xmlns:a14="http://schemas.microsoft.com/office/drawing/2010/main" Requires="a14">
        <xdr:graphicFrame macro="">
          <xdr:nvGraphicFramePr>
            <xdr:cNvPr id="7" name="Funding_Stream">
              <a:extLst>
                <a:ext uri="{FF2B5EF4-FFF2-40B4-BE49-F238E27FC236}">
                  <a16:creationId xmlns:a16="http://schemas.microsoft.com/office/drawing/2014/main" id="{C8C724B7-40CE-9838-9893-68743040E157}"/>
                </a:ext>
              </a:extLst>
            </xdr:cNvPr>
            <xdr:cNvGraphicFramePr/>
          </xdr:nvGraphicFramePr>
          <xdr:xfrm>
            <a:off x="0" y="0"/>
            <a:ext cx="0" cy="0"/>
          </xdr:xfrm>
          <a:graphic>
            <a:graphicData uri="http://schemas.microsoft.com/office/drawing/2010/slicer">
              <sle:slicer xmlns:sle="http://schemas.microsoft.com/office/drawing/2010/slicer" name="Funding_Stream"/>
            </a:graphicData>
          </a:graphic>
        </xdr:graphicFrame>
      </mc:Choice>
      <mc:Fallback>
        <xdr:sp macro="" textlink="">
          <xdr:nvSpPr>
            <xdr:cNvPr id="0" name=""/>
            <xdr:cNvSpPr>
              <a:spLocks noTextEdit="1"/>
            </xdr:cNvSpPr>
          </xdr:nvSpPr>
          <xdr:spPr>
            <a:xfrm>
              <a:off x="7044405" y="76906"/>
              <a:ext cx="1918741" cy="2113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310444</xdr:colOff>
      <xdr:row>0</xdr:row>
      <xdr:rowOff>74789</xdr:rowOff>
    </xdr:from>
    <xdr:to>
      <xdr:col>19</xdr:col>
      <xdr:colOff>566559</xdr:colOff>
      <xdr:row>10</xdr:row>
      <xdr:rowOff>63500</xdr:rowOff>
    </xdr:to>
    <mc:AlternateContent xmlns:mc="http://schemas.openxmlformats.org/markup-compatibility/2006">
      <mc:Choice xmlns:a14="http://schemas.microsoft.com/office/drawing/2010/main" Requires="a14">
        <xdr:graphicFrame macro="">
          <xdr:nvGraphicFramePr>
            <xdr:cNvPr id="8" name="Thematic_Pillar">
              <a:extLst>
                <a:ext uri="{FF2B5EF4-FFF2-40B4-BE49-F238E27FC236}">
                  <a16:creationId xmlns:a16="http://schemas.microsoft.com/office/drawing/2014/main" id="{E62CB0B7-26AD-DD79-499F-C95839602B48}"/>
                </a:ext>
              </a:extLst>
            </xdr:cNvPr>
            <xdr:cNvGraphicFramePr/>
          </xdr:nvGraphicFramePr>
          <xdr:xfrm>
            <a:off x="0" y="0"/>
            <a:ext cx="0" cy="0"/>
          </xdr:xfrm>
          <a:graphic>
            <a:graphicData uri="http://schemas.microsoft.com/office/drawing/2010/slicer">
              <sle:slicer xmlns:sle="http://schemas.microsoft.com/office/drawing/2010/slicer" name="Thematic_Pillar"/>
            </a:graphicData>
          </a:graphic>
        </xdr:graphicFrame>
      </mc:Choice>
      <mc:Fallback>
        <xdr:sp macro="" textlink="">
          <xdr:nvSpPr>
            <xdr:cNvPr id="0" name=""/>
            <xdr:cNvSpPr>
              <a:spLocks noTextEdit="1"/>
            </xdr:cNvSpPr>
          </xdr:nvSpPr>
          <xdr:spPr>
            <a:xfrm>
              <a:off x="9002657" y="74789"/>
              <a:ext cx="2098656" cy="212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UYU, Bilga" refreshedDate="46127.974048379627" createdVersion="8" refreshedVersion="8" minRefreshableVersion="3" recordCount="85" xr:uid="{A2BCC8BF-EB26-436B-ACFF-495B104B08D5}">
  <cacheSource type="worksheet">
    <worksheetSource ref="A1:M86" sheet="TBL_Revenue"/>
  </cacheSource>
  <cacheFields count="13">
    <cacheField name="Receipt_ID" numFmtId="0">
      <sharedItems/>
    </cacheField>
    <cacheField name="Date_Received" numFmtId="164">
      <sharedItems containsSemiMixedTypes="0" containsNonDate="0" containsDate="1" containsString="0" minDate="2023-04-21T00:00:00" maxDate="2026-03-07T00:00:00"/>
    </cacheField>
    <cacheField name="Donor_Name" numFmtId="0">
      <sharedItems count="8">
        <s v="ECHO"/>
        <s v="Voluntary Contribution"/>
        <s v="Regular Budget (RB)"/>
        <s v="USAID"/>
        <s v="SECO (Switzerland)"/>
        <s v="Sida (Sweden)"/>
        <s v="Irish Aid"/>
        <s v="EU Delegation"/>
      </sharedItems>
    </cacheField>
    <cacheField name="Funding_Stream" numFmtId="0">
      <sharedItems count="4">
        <s v="Regular Budget (RB)"/>
        <s v="Voluntary Contribution (VC)"/>
        <s v="Bilateral - Earmarked"/>
        <s v="Bilateral - Soft Earmarked"/>
      </sharedItems>
    </cacheField>
    <cacheField name="Currency" numFmtId="0">
      <sharedItems/>
    </cacheField>
    <cacheField name="Amount_Original" numFmtId="3">
      <sharedItems containsSemiMixedTypes="0" containsString="0" containsNumber="1" containsInteger="1" minValue="116334" maxValue="4074810"/>
    </cacheField>
    <cacheField name="Exchange_Rate" numFmtId="165">
      <sharedItems containsSemiMixedTypes="0" containsString="0" containsNumber="1" minValue="9.5000000000000001E-2" maxValue="1.27"/>
    </cacheField>
    <cacheField name="Amount_USD" numFmtId="166">
      <sharedItems containsSemiMixedTypes="0" containsString="0" containsNumber="1" minValue="17999.174999999999" maxValue="4980613.6100000003"/>
    </cacheField>
    <cacheField name="Earmarking_Status" numFmtId="0">
      <sharedItems/>
    </cacheField>
    <cacheField name="Grant_Reference" numFmtId="0">
      <sharedItems/>
    </cacheField>
    <cacheField name="Expiry_Date" numFmtId="164">
      <sharedItems containsSemiMixedTypes="0" containsNonDate="0" containsDate="1" containsString="0" minDate="2025-05-14T00:00:00" maxDate="2030-01-26T00:00:00"/>
    </cacheField>
    <cacheField name="Restricted_To_Pillar" numFmtId="0">
      <sharedItems/>
    </cacheField>
    <cacheField name="Last_Updated" numFmtId="167">
      <sharedItems containsSemiMixedTypes="0" containsNonDate="0" containsDate="1" containsString="0" minDate="2026-04-15T23:22:37" maxDate="2026-04-15T23:22:37"/>
    </cacheField>
  </cacheFields>
  <extLst>
    <ext xmlns:x14="http://schemas.microsoft.com/office/spreadsheetml/2009/9/main" uri="{725AE2AE-9491-48be-B2B4-4EB974FC3084}">
      <x14:pivotCacheDefinition pivotCacheId="20305362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UYU, Bilga" refreshedDate="46127.974049189812" createdVersion="8" refreshedVersion="8" minRefreshableVersion="3" recordCount="120" xr:uid="{CE63E9A7-2B0D-440E-9DCB-B27ABE0E31D5}">
  <cacheSource type="worksheet">
    <worksheetSource ref="A1:I121" sheet="TBL_Allocation"/>
  </cacheSource>
  <cacheFields count="9">
    <cacheField name="Allocation_ID" numFmtId="0">
      <sharedItems/>
    </cacheField>
    <cacheField name="Project_Code" numFmtId="0">
      <sharedItems/>
    </cacheField>
    <cacheField name="Project_Title" numFmtId="0">
      <sharedItems/>
    </cacheField>
    <cacheField name="Thematic_Pillar" numFmtId="0">
      <sharedItems count="6">
        <s v="Agribusiness &amp; Value Chains"/>
        <s v="Climate Resilience"/>
        <s v="Nutrition &amp; Food Security"/>
        <s v="Gender &amp; Youth Empowerment"/>
        <s v="Emergency Response"/>
        <s v="Policy &amp; Governance"/>
      </sharedItems>
    </cacheField>
    <cacheField name="Revenue_Source_ID" numFmtId="0">
      <sharedItems/>
    </cacheField>
    <cacheField name="Amount_Allocated_USD" numFmtId="166">
      <sharedItems containsSemiMixedTypes="0" containsString="0" containsNumber="1" containsInteger="1" minValue="52319" maxValue="529014"/>
    </cacheField>
    <cacheField name="Allocation_Date" numFmtId="164">
      <sharedItems containsSemiMixedTypes="0" containsNonDate="0" containsDate="1" containsString="0" minDate="2024-03-23T00:00:00" maxDate="2026-03-17T00:00:00"/>
    </cacheField>
    <cacheField name="Approved_By" numFmtId="0">
      <sharedItems/>
    </cacheField>
    <cacheField name="Last_Updated" numFmtId="167">
      <sharedItems containsSemiMixedTypes="0" containsNonDate="0" containsDate="1" containsString="0" minDate="2026-04-15T23:22:37" maxDate="2026-04-15T23:22:37"/>
    </cacheField>
  </cacheFields>
  <extLst>
    <ext xmlns:x14="http://schemas.microsoft.com/office/spreadsheetml/2009/9/main" uri="{725AE2AE-9491-48be-B2B4-4EB974FC3084}">
      <x14:pivotCacheDefinition pivotCacheId="21323181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UYU, Bilga" refreshedDate="46127.97404976852" createdVersion="8" refreshedVersion="8" minRefreshableVersion="3" recordCount="200" xr:uid="{B281AE2F-47E6-4B2E-8536-E5FBD2585C54}">
  <cacheSource type="worksheet">
    <worksheetSource ref="A1:L201" sheet="TBL_Expenditure"/>
  </cacheSource>
  <cacheFields count="12">
    <cacheField name="Expenditure_ID" numFmtId="0">
      <sharedItems/>
    </cacheField>
    <cacheField name="Allocation_ID" numFmtId="0">
      <sharedItems/>
    </cacheField>
    <cacheField name="Project_Code" numFmtId="0">
      <sharedItems/>
    </cacheField>
    <cacheField name="Expenditure_Date" numFmtId="164">
      <sharedItems containsSemiMixedTypes="0" containsNonDate="0" containsDate="1" containsString="0" minDate="2025-04-16T00:00:00" maxDate="2026-04-14T00:00:00" count="160">
        <d v="2025-12-10T00:00:00"/>
        <d v="2026-04-06T00:00:00"/>
        <d v="2026-02-13T00:00:00"/>
        <d v="2026-01-19T00:00:00"/>
        <d v="2026-03-06T00:00:00"/>
        <d v="2026-03-13T00:00:00"/>
        <d v="2026-01-24T00:00:00"/>
        <d v="2026-01-06T00:00:00"/>
        <d v="2025-07-21T00:00:00"/>
        <d v="2025-07-29T00:00:00"/>
        <d v="2025-05-18T00:00:00"/>
        <d v="2025-06-10T00:00:00"/>
        <d v="2025-09-20T00:00:00"/>
        <d v="2025-09-15T00:00:00"/>
        <d v="2025-07-27T00:00:00"/>
        <d v="2026-04-09T00:00:00"/>
        <d v="2026-01-04T00:00:00"/>
        <d v="2025-10-12T00:00:00"/>
        <d v="2026-01-05T00:00:00"/>
        <d v="2026-01-09T00:00:00"/>
        <d v="2025-12-02T00:00:00"/>
        <d v="2025-05-07T00:00:00"/>
        <d v="2025-12-29T00:00:00"/>
        <d v="2025-10-30T00:00:00"/>
        <d v="2025-05-04T00:00:00"/>
        <d v="2025-05-10T00:00:00"/>
        <d v="2025-04-16T00:00:00"/>
        <d v="2025-05-12T00:00:00"/>
        <d v="2026-03-07T00:00:00"/>
        <d v="2025-10-23T00:00:00"/>
        <d v="2025-11-19T00:00:00"/>
        <d v="2025-07-30T00:00:00"/>
        <d v="2025-06-11T00:00:00"/>
        <d v="2025-07-18T00:00:00"/>
        <d v="2025-11-29T00:00:00"/>
        <d v="2025-12-18T00:00:00"/>
        <d v="2025-05-19T00:00:00"/>
        <d v="2025-08-24T00:00:00"/>
        <d v="2025-12-25T00:00:00"/>
        <d v="2026-03-21T00:00:00"/>
        <d v="2025-11-22T00:00:00"/>
        <d v="2026-03-22T00:00:00"/>
        <d v="2025-08-27T00:00:00"/>
        <d v="2025-09-09T00:00:00"/>
        <d v="2025-05-26T00:00:00"/>
        <d v="2026-04-13T00:00:00"/>
        <d v="2026-02-02T00:00:00"/>
        <d v="2025-11-14T00:00:00"/>
        <d v="2026-03-28T00:00:00"/>
        <d v="2026-02-21T00:00:00"/>
        <d v="2025-10-07T00:00:00"/>
        <d v="2026-02-20T00:00:00"/>
        <d v="2025-12-27T00:00:00"/>
        <d v="2026-04-02T00:00:00"/>
        <d v="2026-04-12T00:00:00"/>
        <d v="2026-01-10T00:00:00"/>
        <d v="2025-12-16T00:00:00"/>
        <d v="2026-01-16T00:00:00"/>
        <d v="2025-12-14T00:00:00"/>
        <d v="2025-09-28T00:00:00"/>
        <d v="2025-12-31T00:00:00"/>
        <d v="2025-07-15T00:00:00"/>
        <d v="2025-08-12T00:00:00"/>
        <d v="2026-02-16T00:00:00"/>
        <d v="2025-08-26T00:00:00"/>
        <d v="2025-08-03T00:00:00"/>
        <d v="2026-03-30T00:00:00"/>
        <d v="2026-02-25T00:00:00"/>
        <d v="2025-09-23T00:00:00"/>
        <d v="2025-07-03T00:00:00"/>
        <d v="2025-11-17T00:00:00"/>
        <d v="2025-06-08T00:00:00"/>
        <d v="2025-12-06T00:00:00"/>
        <d v="2025-05-16T00:00:00"/>
        <d v="2025-06-18T00:00:00"/>
        <d v="2026-02-12T00:00:00"/>
        <d v="2025-04-23T00:00:00"/>
        <d v="2025-05-13T00:00:00"/>
        <d v="2025-11-05T00:00:00"/>
        <d v="2025-12-22T00:00:00"/>
        <d v="2026-04-10T00:00:00"/>
        <d v="2025-08-22T00:00:00"/>
        <d v="2025-05-25T00:00:00"/>
        <d v="2025-05-17T00:00:00"/>
        <d v="2025-12-05T00:00:00"/>
        <d v="2025-10-25T00:00:00"/>
        <d v="2025-09-14T00:00:00"/>
        <d v="2025-06-06T00:00:00"/>
        <d v="2025-09-27T00:00:00"/>
        <d v="2025-05-31T00:00:00"/>
        <d v="2026-02-17T00:00:00"/>
        <d v="2025-07-17T00:00:00"/>
        <d v="2026-03-23T00:00:00"/>
        <d v="2026-01-27T00:00:00"/>
        <d v="2025-10-08T00:00:00"/>
        <d v="2025-08-23T00:00:00"/>
        <d v="2026-03-12T00:00:00"/>
        <d v="2025-06-30T00:00:00"/>
        <d v="2025-08-08T00:00:00"/>
        <d v="2025-09-25T00:00:00"/>
        <d v="2025-05-06T00:00:00"/>
        <d v="2026-01-11T00:00:00"/>
        <d v="2025-08-05T00:00:00"/>
        <d v="2025-05-30T00:00:00"/>
        <d v="2025-06-22T00:00:00"/>
        <d v="2025-09-21T00:00:00"/>
        <d v="2026-02-15T00:00:00"/>
        <d v="2025-09-26T00:00:00"/>
        <d v="2025-06-17T00:00:00"/>
        <d v="2025-05-29T00:00:00"/>
        <d v="2025-10-03T00:00:00"/>
        <d v="2025-05-03T00:00:00"/>
        <d v="2026-02-04T00:00:00"/>
        <d v="2025-05-09T00:00:00"/>
        <d v="2025-06-16T00:00:00"/>
        <d v="2025-12-08T00:00:00"/>
        <d v="2025-06-28T00:00:00"/>
        <d v="2025-09-29T00:00:00"/>
        <d v="2025-12-01T00:00:00"/>
        <d v="2025-12-30T00:00:00"/>
        <d v="2026-04-11T00:00:00"/>
        <d v="2026-01-31T00:00:00"/>
        <d v="2026-03-26T00:00:00"/>
        <d v="2026-01-26T00:00:00"/>
        <d v="2026-04-05T00:00:00"/>
        <d v="2025-10-05T00:00:00"/>
        <d v="2025-11-21T00:00:00"/>
        <d v="2025-10-10T00:00:00"/>
        <d v="2025-10-01T00:00:00"/>
        <d v="2025-11-25T00:00:00"/>
        <d v="2025-10-15T00:00:00"/>
        <d v="2025-08-21T00:00:00"/>
        <d v="2025-07-13T00:00:00"/>
        <d v="2025-06-27T00:00:00"/>
        <d v="2025-11-13T00:00:00"/>
        <d v="2025-09-18T00:00:00"/>
        <d v="2025-10-28T00:00:00"/>
        <d v="2025-08-07T00:00:00"/>
        <d v="2026-01-13T00:00:00"/>
        <d v="2026-03-19T00:00:00"/>
        <d v="2025-11-09T00:00:00"/>
        <d v="2025-10-02T00:00:00"/>
        <d v="2025-05-02T00:00:00"/>
        <d v="2025-08-15T00:00:00"/>
        <d v="2026-03-10T00:00:00"/>
        <d v="2025-11-04T00:00:00"/>
        <d v="2026-02-10T00:00:00"/>
        <d v="2025-10-04T00:00:00"/>
        <d v="2025-07-08T00:00:00"/>
        <d v="2025-12-26T00:00:00"/>
        <d v="2025-06-04T00:00:00"/>
        <d v="2025-04-30T00:00:00"/>
        <d v="2025-08-18T00:00:00"/>
        <d v="2025-04-28T00:00:00"/>
        <d v="2025-10-16T00:00:00"/>
        <d v="2025-09-06T00:00:00"/>
        <d v="2026-01-07T00:00:00"/>
        <d v="2025-08-13T00:00:00"/>
        <d v="2025-11-28T00:00:00"/>
        <d v="2026-03-27T00:00:00"/>
      </sharedItems>
    </cacheField>
    <cacheField name="Expenditure_Category" numFmtId="0">
      <sharedItems count="6">
        <s v="Workshops &amp; Training"/>
        <s v="Grants &amp; Transfers"/>
        <s v="Equipment &amp; Supplies"/>
        <s v="Consultants &amp; Experts"/>
        <s v="Travel &amp; Missions"/>
        <s v="Staff &amp; Personnel"/>
      </sharedItems>
    </cacheField>
    <cacheField name="Description" numFmtId="0">
      <sharedItems/>
    </cacheField>
    <cacheField name="Commitment_Amount_USD" numFmtId="166">
      <sharedItems containsSemiMixedTypes="0" containsString="0" containsNumber="1" containsInteger="1" minValue="1157" maxValue="50827"/>
    </cacheField>
    <cacheField name="Disbursed_Amount_USD" numFmtId="166">
      <sharedItems containsSemiMixedTypes="0" containsString="0" containsNumber="1" minValue="0" maxValue="49021.285387539858"/>
    </cacheField>
    <cacheField name="Commitment_Status" numFmtId="0">
      <sharedItems/>
    </cacheField>
    <cacheField name="Payment_Reference" numFmtId="0">
      <sharedItems/>
    </cacheField>
    <cacheField name="Recipient" numFmtId="0">
      <sharedItems/>
    </cacheField>
    <cacheField name="Last_Updated" numFmtId="167">
      <sharedItems containsSemiMixedTypes="0" containsNonDate="0" containsDate="1" containsString="0" minDate="2026-04-15T23:22:37" maxDate="2026-04-15T23:22: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REV-2026-0001"/>
    <d v="2025-04-03T00:00:00"/>
    <x v="0"/>
    <x v="0"/>
    <s v="GBP"/>
    <n v="718570"/>
    <n v="1.27"/>
    <n v="912583.9"/>
    <s v="Softly Earmarked"/>
    <s v="GR-ECHO-2025"/>
    <d v="2028-04-03T00:00:00"/>
    <s v="All Pillars"/>
    <d v="2026-04-15T23:22:37"/>
  </r>
  <r>
    <s v="REV-2026-0002"/>
    <d v="2025-06-23T00:00:00"/>
    <x v="1"/>
    <x v="1"/>
    <s v="EUR"/>
    <n v="260312"/>
    <n v="1.08"/>
    <n v="281136.96000000002"/>
    <s v="Softly Earmarked"/>
    <s v="GR-Volu-2025"/>
    <d v="2028-06-23T00:00:00"/>
    <s v="All Pillars"/>
    <d v="2026-04-15T23:22:37"/>
  </r>
  <r>
    <s v="REV-2026-0003"/>
    <d v="2025-08-16T00:00:00"/>
    <x v="2"/>
    <x v="2"/>
    <s v="GBP"/>
    <n v="3037300"/>
    <n v="1.27"/>
    <n v="3857371"/>
    <s v="Unearmarked"/>
    <s v="GR-Regu-2025"/>
    <d v="2028-08-16T00:00:00"/>
    <s v="All Pillars"/>
    <d v="2026-04-15T23:22:37"/>
  </r>
  <r>
    <s v="REV-2026-0004"/>
    <d v="2023-07-02T00:00:00"/>
    <x v="0"/>
    <x v="3"/>
    <s v="SEK"/>
    <n v="2856872"/>
    <n v="9.5000000000000001E-2"/>
    <n v="271402.84000000003"/>
    <s v="Softly Earmarked"/>
    <s v="GR-ECHO-2023"/>
    <d v="2027-07-02T00:00:00"/>
    <s v="All Pillars"/>
    <d v="2026-04-15T23:22:37"/>
  </r>
  <r>
    <s v="REV-2026-0005"/>
    <d v="2025-02-02T00:00:00"/>
    <x v="3"/>
    <x v="3"/>
    <s v="EUR"/>
    <n v="367203"/>
    <n v="1.08"/>
    <n v="396579.24000000005"/>
    <s v="Tightly Earmarked"/>
    <s v="GR-USAI-2025"/>
    <d v="2029-02-02T00:00:00"/>
    <s v="Agribusiness &amp; Value Chains"/>
    <d v="2026-04-15T23:22:37"/>
  </r>
  <r>
    <s v="REV-2026-0006"/>
    <d v="2023-12-18T00:00:00"/>
    <x v="4"/>
    <x v="2"/>
    <s v="CHF"/>
    <n v="2940542"/>
    <n v="1.1399999999999999"/>
    <n v="3352217.88"/>
    <s v="Tightly Earmarked"/>
    <s v="GR-SECO-2023"/>
    <d v="2025-12-18T00:00:00"/>
    <s v="Cross-Cutting Operations"/>
    <d v="2026-04-15T23:22:37"/>
  </r>
  <r>
    <s v="REV-2026-0007"/>
    <d v="2024-07-18T00:00:00"/>
    <x v="5"/>
    <x v="3"/>
    <s v="GBP"/>
    <n v="3802792"/>
    <n v="1.27"/>
    <n v="4829545.84"/>
    <s v="Softly Earmarked"/>
    <s v="GR-Sida-2024"/>
    <d v="2028-07-18T00:00:00"/>
    <s v="All Pillars"/>
    <d v="2026-04-15T23:22:37"/>
  </r>
  <r>
    <s v="REV-2026-0008"/>
    <d v="2023-06-22T00:00:00"/>
    <x v="0"/>
    <x v="1"/>
    <s v="CHF"/>
    <n v="1744385"/>
    <n v="1.1399999999999999"/>
    <n v="1988598.9"/>
    <s v="Tightly Earmarked"/>
    <s v="GR-ECHO-2023"/>
    <d v="2025-06-22T00:00:00"/>
    <s v="Emergency Response"/>
    <d v="2026-04-15T23:22:37"/>
  </r>
  <r>
    <s v="REV-2026-0009"/>
    <d v="2025-10-06T00:00:00"/>
    <x v="5"/>
    <x v="2"/>
    <s v="SEK"/>
    <n v="376325"/>
    <n v="9.5000000000000001E-2"/>
    <n v="35750.875"/>
    <s v="Unearmarked"/>
    <s v="GR-Sida-2025"/>
    <d v="2027-10-06T00:00:00"/>
    <s v="All Pillars"/>
    <d v="2026-04-15T23:22:37"/>
  </r>
  <r>
    <s v="REV-2026-0010"/>
    <d v="2024-09-19T00:00:00"/>
    <x v="0"/>
    <x v="3"/>
    <s v="USD"/>
    <n v="383944"/>
    <n v="1"/>
    <n v="383944"/>
    <s v="Tightly Earmarked"/>
    <s v="GR-ECHO-2024"/>
    <d v="2028-09-19T00:00:00"/>
    <s v="Policy &amp; Governance"/>
    <d v="2026-04-15T23:22:37"/>
  </r>
  <r>
    <s v="REV-2026-0011"/>
    <d v="2023-06-24T00:00:00"/>
    <x v="1"/>
    <x v="1"/>
    <s v="CHF"/>
    <n v="137880"/>
    <n v="1.1399999999999999"/>
    <n v="157183.19999999998"/>
    <s v="Unearmarked"/>
    <s v="GR-Volu-2023"/>
    <d v="2027-06-24T00:00:00"/>
    <s v="All Pillars"/>
    <d v="2026-04-15T23:22:37"/>
  </r>
  <r>
    <s v="REV-2026-0012"/>
    <d v="2026-01-18T00:00:00"/>
    <x v="3"/>
    <x v="1"/>
    <s v="GBP"/>
    <n v="3427507"/>
    <n v="1.27"/>
    <n v="4352933.8899999997"/>
    <s v="Tightly Earmarked"/>
    <s v="GR-USAI-2026"/>
    <d v="2030-01-18T00:00:00"/>
    <s v="Cross-Cutting Operations"/>
    <d v="2026-04-15T23:22:37"/>
  </r>
  <r>
    <s v="REV-2026-0013"/>
    <d v="2023-08-04T00:00:00"/>
    <x v="0"/>
    <x v="0"/>
    <s v="USD"/>
    <n v="2535601"/>
    <n v="1"/>
    <n v="2535601"/>
    <s v="Softly Earmarked"/>
    <s v="GR-ECHO-2023"/>
    <d v="2025-08-04T00:00:00"/>
    <s v="All Pillars"/>
    <d v="2026-04-15T23:22:37"/>
  </r>
  <r>
    <s v="REV-2026-0014"/>
    <d v="2025-04-13T00:00:00"/>
    <x v="2"/>
    <x v="0"/>
    <s v="SEK"/>
    <n v="3925499"/>
    <n v="9.5000000000000001E-2"/>
    <n v="372922.40500000003"/>
    <s v="Softly Earmarked"/>
    <s v="GR-Regu-2025"/>
    <d v="2028-04-13T00:00:00"/>
    <s v="All Pillars"/>
    <d v="2026-04-15T23:22:37"/>
  </r>
  <r>
    <s v="REV-2026-0015"/>
    <d v="2025-12-16T00:00:00"/>
    <x v="6"/>
    <x v="2"/>
    <s v="GBP"/>
    <n v="1979331"/>
    <n v="1.27"/>
    <n v="2513750.37"/>
    <s v="Unearmarked"/>
    <s v="GR-Iris-2025"/>
    <d v="2027-12-16T00:00:00"/>
    <s v="All Pillars"/>
    <d v="2026-04-15T23:22:37"/>
  </r>
  <r>
    <s v="REV-2026-0016"/>
    <d v="2024-06-13T00:00:00"/>
    <x v="6"/>
    <x v="0"/>
    <s v="SEK"/>
    <n v="3759997"/>
    <n v="9.5000000000000001E-2"/>
    <n v="357199.71500000003"/>
    <s v="Softly Earmarked"/>
    <s v="GR-Iris-2024"/>
    <d v="2026-06-13T00:00:00"/>
    <s v="All Pillars"/>
    <d v="2026-04-15T23:22:37"/>
  </r>
  <r>
    <s v="REV-2026-0017"/>
    <d v="2023-05-19T00:00:00"/>
    <x v="5"/>
    <x v="3"/>
    <s v="GBP"/>
    <n v="2437949"/>
    <n v="1.27"/>
    <n v="3096195.23"/>
    <s v="Softly Earmarked"/>
    <s v="GR-Sida-2023"/>
    <d v="2027-05-19T00:00:00"/>
    <s v="All Pillars"/>
    <d v="2026-04-15T23:22:37"/>
  </r>
  <r>
    <s v="REV-2026-0018"/>
    <d v="2024-07-30T00:00:00"/>
    <x v="1"/>
    <x v="2"/>
    <s v="GBP"/>
    <n v="1703370"/>
    <n v="1.27"/>
    <n v="2163279.9"/>
    <s v="Unearmarked"/>
    <s v="GR-Volu-2024"/>
    <d v="2027-07-30T00:00:00"/>
    <s v="All Pillars"/>
    <d v="2026-04-15T23:22:37"/>
  </r>
  <r>
    <s v="REV-2026-0019"/>
    <d v="2025-08-25T00:00:00"/>
    <x v="7"/>
    <x v="3"/>
    <s v="EUR"/>
    <n v="1986568"/>
    <n v="1.08"/>
    <n v="2145493.44"/>
    <s v="Tightly Earmarked"/>
    <s v="GR-EU D-2025"/>
    <d v="2027-08-25T00:00:00"/>
    <s v="Cross-Cutting Operations"/>
    <d v="2026-04-15T23:22:37"/>
  </r>
  <r>
    <s v="REV-2026-0020"/>
    <d v="2025-09-24T00:00:00"/>
    <x v="4"/>
    <x v="1"/>
    <s v="SEK"/>
    <n v="552646"/>
    <n v="9.5000000000000001E-2"/>
    <n v="52501.37"/>
    <s v="Tightly Earmarked"/>
    <s v="GR-SECO-2025"/>
    <d v="2029-09-24T00:00:00"/>
    <s v="Gender &amp; Youth Empowerment"/>
    <d v="2026-04-15T23:22:37"/>
  </r>
  <r>
    <s v="REV-2026-0021"/>
    <d v="2023-12-21T00:00:00"/>
    <x v="1"/>
    <x v="2"/>
    <s v="GBP"/>
    <n v="1637425"/>
    <n v="1.27"/>
    <n v="2079529.75"/>
    <s v="Unearmarked"/>
    <s v="GR-Volu-2023"/>
    <d v="2027-12-21T00:00:00"/>
    <s v="All Pillars"/>
    <d v="2026-04-15T23:22:37"/>
  </r>
  <r>
    <s v="REV-2026-0022"/>
    <d v="2025-11-17T00:00:00"/>
    <x v="2"/>
    <x v="0"/>
    <s v="USD"/>
    <n v="3789352"/>
    <n v="1"/>
    <n v="3789352"/>
    <s v="Tightly Earmarked"/>
    <s v="GR-Regu-2025"/>
    <d v="2029-11-17T00:00:00"/>
    <s v="Policy &amp; Governance"/>
    <d v="2026-04-15T23:22:37"/>
  </r>
  <r>
    <s v="REV-2026-0023"/>
    <d v="2025-12-12T00:00:00"/>
    <x v="7"/>
    <x v="3"/>
    <s v="SEK"/>
    <n v="3854173"/>
    <n v="9.5000000000000001E-2"/>
    <n v="366146.435"/>
    <s v="Softly Earmarked"/>
    <s v="GR-EU D-2025"/>
    <d v="2029-12-12T00:00:00"/>
    <s v="All Pillars"/>
    <d v="2026-04-15T23:22:37"/>
  </r>
  <r>
    <s v="REV-2026-0024"/>
    <d v="2023-05-14T00:00:00"/>
    <x v="4"/>
    <x v="0"/>
    <s v="EUR"/>
    <n v="2635777"/>
    <n v="1.08"/>
    <n v="2846639.16"/>
    <s v="Tightly Earmarked"/>
    <s v="GR-SECO-2023"/>
    <d v="2025-05-14T00:00:00"/>
    <s v="Cross-Cutting Operations"/>
    <d v="2026-04-15T23:22:37"/>
  </r>
  <r>
    <s v="REV-2026-0025"/>
    <d v="2023-12-28T00:00:00"/>
    <x v="4"/>
    <x v="1"/>
    <s v="GBP"/>
    <n v="116334"/>
    <n v="1.27"/>
    <n v="147744.18"/>
    <s v="Softly Earmarked"/>
    <s v="GR-SECO-2023"/>
    <d v="2027-12-28T00:00:00"/>
    <s v="All Pillars"/>
    <d v="2026-04-15T23:22:37"/>
  </r>
  <r>
    <s v="REV-2026-0026"/>
    <d v="2024-01-01T00:00:00"/>
    <x v="1"/>
    <x v="2"/>
    <s v="USD"/>
    <n v="1611843"/>
    <n v="1"/>
    <n v="1611843"/>
    <s v="Softly Earmarked"/>
    <s v="GR-Volu-2024"/>
    <d v="2027-01-01T00:00:00"/>
    <s v="All Pillars"/>
    <d v="2026-04-15T23:22:37"/>
  </r>
  <r>
    <s v="REV-2026-0027"/>
    <d v="2025-11-22T00:00:00"/>
    <x v="0"/>
    <x v="3"/>
    <s v="EUR"/>
    <n v="3624380"/>
    <n v="1.08"/>
    <n v="3914330.4000000004"/>
    <s v="Unearmarked"/>
    <s v="GR-ECHO-2025"/>
    <d v="2029-11-22T00:00:00"/>
    <s v="All Pillars"/>
    <d v="2026-04-15T23:22:37"/>
  </r>
  <r>
    <s v="REV-2026-0028"/>
    <d v="2026-01-25T00:00:00"/>
    <x v="5"/>
    <x v="2"/>
    <s v="GBP"/>
    <n v="3921743"/>
    <n v="1.27"/>
    <n v="4980613.6100000003"/>
    <s v="Softly Earmarked"/>
    <s v="GR-Sida-2026"/>
    <d v="2030-01-25T00:00:00"/>
    <s v="All Pillars"/>
    <d v="2026-04-15T23:22:37"/>
  </r>
  <r>
    <s v="REV-2026-0029"/>
    <d v="2023-11-12T00:00:00"/>
    <x v="6"/>
    <x v="2"/>
    <s v="EUR"/>
    <n v="1270430"/>
    <n v="1.08"/>
    <n v="1372064.4000000001"/>
    <s v="Unearmarked"/>
    <s v="GR-Iris-2023"/>
    <d v="2026-11-12T00:00:00"/>
    <s v="All Pillars"/>
    <d v="2026-04-15T23:22:37"/>
  </r>
  <r>
    <s v="REV-2026-0030"/>
    <d v="2024-10-07T00:00:00"/>
    <x v="2"/>
    <x v="3"/>
    <s v="CHF"/>
    <n v="1146328"/>
    <n v="1.1399999999999999"/>
    <n v="1306813.92"/>
    <s v="Tightly Earmarked"/>
    <s v="GR-Regu-2024"/>
    <d v="2027-10-07T00:00:00"/>
    <s v="Policy &amp; Governance"/>
    <d v="2026-04-15T23:22:37"/>
  </r>
  <r>
    <s v="REV-2026-0031"/>
    <d v="2023-04-21T00:00:00"/>
    <x v="6"/>
    <x v="1"/>
    <s v="CHF"/>
    <n v="3999583"/>
    <n v="1.1399999999999999"/>
    <n v="4559524.6199999992"/>
    <s v="Unearmarked"/>
    <s v="GR-Iris-2023"/>
    <d v="2026-04-21T00:00:00"/>
    <s v="All Pillars"/>
    <d v="2026-04-15T23:22:37"/>
  </r>
  <r>
    <s v="REV-2026-0032"/>
    <d v="2025-11-16T00:00:00"/>
    <x v="4"/>
    <x v="1"/>
    <s v="GBP"/>
    <n v="2467429"/>
    <n v="1.27"/>
    <n v="3133634.83"/>
    <s v="Unearmarked"/>
    <s v="GR-SECO-2025"/>
    <d v="2027-11-16T00:00:00"/>
    <s v="All Pillars"/>
    <d v="2026-04-15T23:22:37"/>
  </r>
  <r>
    <s v="REV-2026-0033"/>
    <d v="2024-01-31T00:00:00"/>
    <x v="6"/>
    <x v="2"/>
    <s v="GBP"/>
    <n v="3686870"/>
    <n v="1.27"/>
    <n v="4682324.9000000004"/>
    <s v="Unearmarked"/>
    <s v="GR-Iris-2024"/>
    <d v="2026-01-31T00:00:00"/>
    <s v="All Pillars"/>
    <d v="2026-04-15T23:22:37"/>
  </r>
  <r>
    <s v="REV-2026-0034"/>
    <d v="2024-09-11T00:00:00"/>
    <x v="6"/>
    <x v="2"/>
    <s v="USD"/>
    <n v="893204"/>
    <n v="1"/>
    <n v="893204"/>
    <s v="Tightly Earmarked"/>
    <s v="GR-Iris-2024"/>
    <d v="2027-09-11T00:00:00"/>
    <s v="Agribusiness &amp; Value Chains"/>
    <d v="2026-04-15T23:22:37"/>
  </r>
  <r>
    <s v="REV-2026-0035"/>
    <d v="2026-02-27T00:00:00"/>
    <x v="2"/>
    <x v="0"/>
    <s v="SEK"/>
    <n v="1654831"/>
    <n v="9.5000000000000001E-2"/>
    <n v="157208.94500000001"/>
    <s v="Unearmarked"/>
    <s v="GR-Regu-2026"/>
    <d v="2028-02-27T00:00:00"/>
    <s v="All Pillars"/>
    <d v="2026-04-15T23:22:37"/>
  </r>
  <r>
    <s v="REV-2026-0036"/>
    <d v="2025-06-24T00:00:00"/>
    <x v="4"/>
    <x v="3"/>
    <s v="GBP"/>
    <n v="536750"/>
    <n v="1.27"/>
    <n v="681672.5"/>
    <s v="Unearmarked"/>
    <s v="GR-SECO-2025"/>
    <d v="2029-06-24T00:00:00"/>
    <s v="All Pillars"/>
    <d v="2026-04-15T23:22:37"/>
  </r>
  <r>
    <s v="REV-2026-0037"/>
    <d v="2025-09-20T00:00:00"/>
    <x v="3"/>
    <x v="3"/>
    <s v="SEK"/>
    <n v="2956719"/>
    <n v="9.5000000000000001E-2"/>
    <n v="280888.30499999999"/>
    <s v="Unearmarked"/>
    <s v="GR-USAI-2025"/>
    <d v="2028-09-20T00:00:00"/>
    <s v="All Pillars"/>
    <d v="2026-04-15T23:22:37"/>
  </r>
  <r>
    <s v="REV-2026-0038"/>
    <d v="2025-12-22T00:00:00"/>
    <x v="1"/>
    <x v="3"/>
    <s v="CHF"/>
    <n v="854857"/>
    <n v="1.1399999999999999"/>
    <n v="974536.97999999986"/>
    <s v="Softly Earmarked"/>
    <s v="GR-Volu-2025"/>
    <d v="2028-12-22T00:00:00"/>
    <s v="All Pillars"/>
    <d v="2026-04-15T23:22:37"/>
  </r>
  <r>
    <s v="REV-2026-0039"/>
    <d v="2024-04-04T00:00:00"/>
    <x v="3"/>
    <x v="3"/>
    <s v="USD"/>
    <n v="134092"/>
    <n v="1"/>
    <n v="134092"/>
    <s v="Softly Earmarked"/>
    <s v="GR-USAI-2024"/>
    <d v="2027-04-04T00:00:00"/>
    <s v="All Pillars"/>
    <d v="2026-04-15T23:22:37"/>
  </r>
  <r>
    <s v="REV-2026-0040"/>
    <d v="2025-10-15T00:00:00"/>
    <x v="1"/>
    <x v="0"/>
    <s v="GBP"/>
    <n v="1663155"/>
    <n v="1.27"/>
    <n v="2112206.85"/>
    <s v="Tightly Earmarked"/>
    <s v="GR-Volu-2025"/>
    <d v="2027-10-15T00:00:00"/>
    <s v="Cross-Cutting Operations"/>
    <d v="2026-04-15T23:22:37"/>
  </r>
  <r>
    <s v="REV-2026-0041"/>
    <d v="2024-03-16T00:00:00"/>
    <x v="4"/>
    <x v="3"/>
    <s v="SEK"/>
    <n v="2487447"/>
    <n v="9.5000000000000001E-2"/>
    <n v="236307.465"/>
    <s v="Softly Earmarked"/>
    <s v="GR-SECO-2024"/>
    <d v="2026-03-16T00:00:00"/>
    <s v="All Pillars"/>
    <d v="2026-04-15T23:22:37"/>
  </r>
  <r>
    <s v="REV-2026-0042"/>
    <d v="2023-08-23T00:00:00"/>
    <x v="2"/>
    <x v="3"/>
    <s v="CHF"/>
    <n v="3393195"/>
    <n v="1.1399999999999999"/>
    <n v="3868242.3"/>
    <s v="Softly Earmarked"/>
    <s v="GR-Regu-2023"/>
    <d v="2025-08-23T00:00:00"/>
    <s v="All Pillars"/>
    <d v="2026-04-15T23:22:37"/>
  </r>
  <r>
    <s v="REV-2026-0043"/>
    <d v="2026-02-03T00:00:00"/>
    <x v="2"/>
    <x v="2"/>
    <s v="SEK"/>
    <n v="243936"/>
    <n v="9.5000000000000001E-2"/>
    <n v="23173.920000000002"/>
    <s v="Unearmarked"/>
    <s v="GR-Regu-2026"/>
    <d v="2028-02-03T00:00:00"/>
    <s v="All Pillars"/>
    <d v="2026-04-15T23:22:37"/>
  </r>
  <r>
    <s v="REV-2026-0044"/>
    <d v="2024-10-09T00:00:00"/>
    <x v="0"/>
    <x v="3"/>
    <s v="USD"/>
    <n v="2586108"/>
    <n v="1"/>
    <n v="2586108"/>
    <s v="Unearmarked"/>
    <s v="GR-ECHO-2024"/>
    <d v="2026-10-09T00:00:00"/>
    <s v="All Pillars"/>
    <d v="2026-04-15T23:22:37"/>
  </r>
  <r>
    <s v="REV-2026-0045"/>
    <d v="2023-04-29T00:00:00"/>
    <x v="5"/>
    <x v="0"/>
    <s v="GBP"/>
    <n v="1315432"/>
    <n v="1.27"/>
    <n v="1670598.6400000001"/>
    <s v="Softly Earmarked"/>
    <s v="GR-Sida-2023"/>
    <d v="2026-04-29T00:00:00"/>
    <s v="All Pillars"/>
    <d v="2026-04-15T23:22:37"/>
  </r>
  <r>
    <s v="REV-2026-0046"/>
    <d v="2025-01-18T00:00:00"/>
    <x v="5"/>
    <x v="1"/>
    <s v="EUR"/>
    <n v="1298065"/>
    <n v="1.08"/>
    <n v="1401910.2000000002"/>
    <s v="Unearmarked"/>
    <s v="GR-Sida-2025"/>
    <d v="2028-01-18T00:00:00"/>
    <s v="All Pillars"/>
    <d v="2026-04-15T23:22:37"/>
  </r>
  <r>
    <s v="REV-2026-0047"/>
    <d v="2026-01-02T00:00:00"/>
    <x v="1"/>
    <x v="3"/>
    <s v="SEK"/>
    <n v="203673"/>
    <n v="9.5000000000000001E-2"/>
    <n v="19348.935000000001"/>
    <s v="Softly Earmarked"/>
    <s v="GR-Volu-2026"/>
    <d v="2028-01-02T00:00:00"/>
    <s v="All Pillars"/>
    <d v="2026-04-15T23:22:37"/>
  </r>
  <r>
    <s v="REV-2026-0048"/>
    <d v="2024-07-14T00:00:00"/>
    <x v="2"/>
    <x v="0"/>
    <s v="USD"/>
    <n v="3403126"/>
    <n v="1"/>
    <n v="3403126"/>
    <s v="Unearmarked"/>
    <s v="GR-Regu-2024"/>
    <d v="2028-07-14T00:00:00"/>
    <s v="All Pillars"/>
    <d v="2026-04-15T23:22:37"/>
  </r>
  <r>
    <s v="REV-2026-0049"/>
    <d v="2024-06-30T00:00:00"/>
    <x v="4"/>
    <x v="1"/>
    <s v="EUR"/>
    <n v="2918456"/>
    <n v="1.08"/>
    <n v="3151932.48"/>
    <s v="Unearmarked"/>
    <s v="GR-SECO-2024"/>
    <d v="2028-06-30T00:00:00"/>
    <s v="All Pillars"/>
    <d v="2026-04-15T23:22:37"/>
  </r>
  <r>
    <s v="REV-2026-0050"/>
    <d v="2023-07-28T00:00:00"/>
    <x v="4"/>
    <x v="3"/>
    <s v="USD"/>
    <n v="1168191"/>
    <n v="1"/>
    <n v="1168191"/>
    <s v="Tightly Earmarked"/>
    <s v="GR-SECO-2023"/>
    <d v="2025-07-28T00:00:00"/>
    <s v="Cross-Cutting Operations"/>
    <d v="2026-04-15T23:22:37"/>
  </r>
  <r>
    <s v="REV-2026-0051"/>
    <d v="2024-07-22T00:00:00"/>
    <x v="2"/>
    <x v="1"/>
    <s v="USD"/>
    <n v="2017002"/>
    <n v="1"/>
    <n v="2017002"/>
    <s v="Unearmarked"/>
    <s v="GR-Regu-2024"/>
    <d v="2027-07-22T00:00:00"/>
    <s v="All Pillars"/>
    <d v="2026-04-15T23:22:37"/>
  </r>
  <r>
    <s v="REV-2026-0052"/>
    <d v="2025-08-22T00:00:00"/>
    <x v="4"/>
    <x v="2"/>
    <s v="SEK"/>
    <n v="4074810"/>
    <n v="9.5000000000000001E-2"/>
    <n v="387106.95"/>
    <s v="Tightly Earmarked"/>
    <s v="GR-SECO-2025"/>
    <d v="2027-08-22T00:00:00"/>
    <s v="Cross-Cutting Operations"/>
    <d v="2026-04-15T23:22:37"/>
  </r>
  <r>
    <s v="REV-2026-0053"/>
    <d v="2024-04-13T00:00:00"/>
    <x v="6"/>
    <x v="0"/>
    <s v="CHF"/>
    <n v="1028210"/>
    <n v="1.1399999999999999"/>
    <n v="1172159.3999999999"/>
    <s v="Unearmarked"/>
    <s v="GR-Iris-2024"/>
    <d v="2026-04-13T00:00:00"/>
    <s v="All Pillars"/>
    <d v="2026-04-15T23:22:37"/>
  </r>
  <r>
    <s v="REV-2026-0054"/>
    <d v="2025-07-19T00:00:00"/>
    <x v="5"/>
    <x v="0"/>
    <s v="USD"/>
    <n v="669740"/>
    <n v="1"/>
    <n v="669740"/>
    <s v="Softly Earmarked"/>
    <s v="GR-Sida-2025"/>
    <d v="2029-07-19T00:00:00"/>
    <s v="All Pillars"/>
    <d v="2026-04-15T23:22:37"/>
  </r>
  <r>
    <s v="REV-2026-0055"/>
    <d v="2024-03-11T00:00:00"/>
    <x v="5"/>
    <x v="3"/>
    <s v="CHF"/>
    <n v="2219384"/>
    <n v="1.1399999999999999"/>
    <n v="2530097.7599999998"/>
    <s v="Tightly Earmarked"/>
    <s v="GR-Sida-2024"/>
    <d v="2028-03-11T00:00:00"/>
    <s v="Policy &amp; Governance"/>
    <d v="2026-04-15T23:22:37"/>
  </r>
  <r>
    <s v="REV-2026-0056"/>
    <d v="2023-09-13T00:00:00"/>
    <x v="2"/>
    <x v="1"/>
    <s v="EUR"/>
    <n v="3342145"/>
    <n v="1.08"/>
    <n v="3609516.6"/>
    <s v="Tightly Earmarked"/>
    <s v="GR-Regu-2023"/>
    <d v="2025-09-13T00:00:00"/>
    <s v="Agribusiness &amp; Value Chains"/>
    <d v="2026-04-15T23:22:37"/>
  </r>
  <r>
    <s v="REV-2026-0057"/>
    <d v="2026-02-28T00:00:00"/>
    <x v="3"/>
    <x v="1"/>
    <s v="CHF"/>
    <n v="2442788"/>
    <n v="1.1399999999999999"/>
    <n v="2784778.32"/>
    <s v="Softly Earmarked"/>
    <s v="GR-USAI-2026"/>
    <d v="2028-02-28T00:00:00"/>
    <s v="All Pillars"/>
    <d v="2026-04-15T23:22:37"/>
  </r>
  <r>
    <s v="REV-2026-0058"/>
    <d v="2025-06-30T00:00:00"/>
    <x v="7"/>
    <x v="2"/>
    <s v="GBP"/>
    <n v="3022899"/>
    <n v="1.27"/>
    <n v="3839081.73"/>
    <s v="Tightly Earmarked"/>
    <s v="GR-EU D-2025"/>
    <d v="2029-06-30T00:00:00"/>
    <s v="Emergency Response"/>
    <d v="2026-04-15T23:22:37"/>
  </r>
  <r>
    <s v="REV-2026-0059"/>
    <d v="2024-02-09T00:00:00"/>
    <x v="1"/>
    <x v="2"/>
    <s v="GBP"/>
    <n v="1574674"/>
    <n v="1.27"/>
    <n v="1999835.98"/>
    <s v="Unearmarked"/>
    <s v="GR-Volu-2024"/>
    <d v="2026-02-09T00:00:00"/>
    <s v="All Pillars"/>
    <d v="2026-04-15T23:22:37"/>
  </r>
  <r>
    <s v="REV-2026-0060"/>
    <d v="2026-03-06T00:00:00"/>
    <x v="3"/>
    <x v="3"/>
    <s v="SEK"/>
    <n v="1564268"/>
    <n v="9.5000000000000001E-2"/>
    <n v="148605.46"/>
    <s v="Unearmarked"/>
    <s v="GR-USAI-2026"/>
    <d v="2029-03-06T00:00:00"/>
    <s v="All Pillars"/>
    <d v="2026-04-15T23:22:37"/>
  </r>
  <r>
    <s v="REV-2026-0061"/>
    <d v="2024-07-14T00:00:00"/>
    <x v="6"/>
    <x v="1"/>
    <s v="CHF"/>
    <n v="2839194"/>
    <n v="1.1399999999999999"/>
    <n v="3236681.1599999997"/>
    <s v="Unearmarked"/>
    <s v="GR-Iris-2024"/>
    <d v="2028-07-14T00:00:00"/>
    <s v="All Pillars"/>
    <d v="2026-04-15T23:22:37"/>
  </r>
  <r>
    <s v="REV-2026-0062"/>
    <d v="2025-07-21T00:00:00"/>
    <x v="4"/>
    <x v="0"/>
    <s v="GBP"/>
    <n v="3271336"/>
    <n v="1.27"/>
    <n v="4154596.72"/>
    <s v="Unearmarked"/>
    <s v="GR-SECO-2025"/>
    <d v="2028-07-21T00:00:00"/>
    <s v="All Pillars"/>
    <d v="2026-04-15T23:22:37"/>
  </r>
  <r>
    <s v="REV-2026-0063"/>
    <d v="2023-06-01T00:00:00"/>
    <x v="3"/>
    <x v="1"/>
    <s v="EUR"/>
    <n v="2419726"/>
    <n v="1.08"/>
    <n v="2613304.08"/>
    <s v="Softly Earmarked"/>
    <s v="GR-USAI-2023"/>
    <d v="2025-06-01T00:00:00"/>
    <s v="All Pillars"/>
    <d v="2026-04-15T23:22:37"/>
  </r>
  <r>
    <s v="REV-2026-0064"/>
    <d v="2023-07-03T00:00:00"/>
    <x v="5"/>
    <x v="3"/>
    <s v="SEK"/>
    <n v="204314"/>
    <n v="9.5000000000000001E-2"/>
    <n v="19409.830000000002"/>
    <s v="Unearmarked"/>
    <s v="GR-Sida-2023"/>
    <d v="2026-07-03T00:00:00"/>
    <s v="All Pillars"/>
    <d v="2026-04-15T23:22:37"/>
  </r>
  <r>
    <s v="REV-2026-0065"/>
    <d v="2023-12-31T00:00:00"/>
    <x v="0"/>
    <x v="2"/>
    <s v="EUR"/>
    <n v="3585834"/>
    <n v="1.08"/>
    <n v="3872700.72"/>
    <s v="Tightly Earmarked"/>
    <s v="GR-ECHO-2023"/>
    <d v="2027-12-31T00:00:00"/>
    <s v="Agribusiness &amp; Value Chains"/>
    <d v="2026-04-15T23:22:37"/>
  </r>
  <r>
    <s v="REV-2026-0066"/>
    <d v="2024-03-10T00:00:00"/>
    <x v="6"/>
    <x v="2"/>
    <s v="SEK"/>
    <n v="1360181"/>
    <n v="9.5000000000000001E-2"/>
    <n v="129217.19500000001"/>
    <s v="Softly Earmarked"/>
    <s v="GR-Iris-2024"/>
    <d v="2028-03-10T00:00:00"/>
    <s v="All Pillars"/>
    <d v="2026-04-15T23:22:37"/>
  </r>
  <r>
    <s v="REV-2026-0067"/>
    <d v="2023-07-06T00:00:00"/>
    <x v="7"/>
    <x v="0"/>
    <s v="SEK"/>
    <n v="460838"/>
    <n v="9.5000000000000001E-2"/>
    <n v="43779.61"/>
    <s v="Unearmarked"/>
    <s v="GR-EU D-2023"/>
    <d v="2027-07-06T00:00:00"/>
    <s v="All Pillars"/>
    <d v="2026-04-15T23:22:37"/>
  </r>
  <r>
    <s v="REV-2026-0068"/>
    <d v="2025-05-11T00:00:00"/>
    <x v="5"/>
    <x v="3"/>
    <s v="USD"/>
    <n v="1822918"/>
    <n v="1"/>
    <n v="1822918"/>
    <s v="Unearmarked"/>
    <s v="GR-Sida-2025"/>
    <d v="2027-05-11T00:00:00"/>
    <s v="All Pillars"/>
    <d v="2026-04-15T23:22:37"/>
  </r>
  <r>
    <s v="REV-2026-0069"/>
    <d v="2024-11-06T00:00:00"/>
    <x v="3"/>
    <x v="3"/>
    <s v="SEK"/>
    <n v="1555024"/>
    <n v="9.5000000000000001E-2"/>
    <n v="147727.28"/>
    <s v="Tightly Earmarked"/>
    <s v="GR-USAI-2024"/>
    <d v="2027-11-06T00:00:00"/>
    <s v="Cross-Cutting Operations"/>
    <d v="2026-04-15T23:22:37"/>
  </r>
  <r>
    <s v="REV-2026-0070"/>
    <d v="2025-02-25T00:00:00"/>
    <x v="1"/>
    <x v="0"/>
    <s v="SEK"/>
    <n v="2774054"/>
    <n v="9.5000000000000001E-2"/>
    <n v="263535.13"/>
    <s v="Unearmarked"/>
    <s v="GR-Volu-2025"/>
    <d v="2027-02-25T00:00:00"/>
    <s v="All Pillars"/>
    <d v="2026-04-15T23:22:37"/>
  </r>
  <r>
    <s v="REV-2026-0071"/>
    <d v="2023-09-23T00:00:00"/>
    <x v="1"/>
    <x v="3"/>
    <s v="SEK"/>
    <n v="189465"/>
    <n v="9.5000000000000001E-2"/>
    <n v="17999.174999999999"/>
    <s v="Unearmarked"/>
    <s v="GR-Volu-2023"/>
    <d v="2026-09-23T00:00:00"/>
    <s v="All Pillars"/>
    <d v="2026-04-15T23:22:37"/>
  </r>
  <r>
    <s v="REV-2026-0072"/>
    <d v="2024-04-20T00:00:00"/>
    <x v="7"/>
    <x v="2"/>
    <s v="CHF"/>
    <n v="1188370"/>
    <n v="1.1399999999999999"/>
    <n v="1354741.7999999998"/>
    <s v="Softly Earmarked"/>
    <s v="GR-EU D-2024"/>
    <d v="2028-04-20T00:00:00"/>
    <s v="All Pillars"/>
    <d v="2026-04-15T23:22:37"/>
  </r>
  <r>
    <s v="REV-2026-0073"/>
    <d v="2025-11-12T00:00:00"/>
    <x v="4"/>
    <x v="1"/>
    <s v="CHF"/>
    <n v="3935483"/>
    <n v="1.1399999999999999"/>
    <n v="4486450.6199999992"/>
    <s v="Tightly Earmarked"/>
    <s v="GR-SECO-2025"/>
    <d v="2027-11-12T00:00:00"/>
    <s v="Agribusiness &amp; Value Chains"/>
    <d v="2026-04-15T23:22:37"/>
  </r>
  <r>
    <s v="REV-2026-0074"/>
    <d v="2024-09-07T00:00:00"/>
    <x v="0"/>
    <x v="2"/>
    <s v="EUR"/>
    <n v="3173354"/>
    <n v="1.08"/>
    <n v="3427222.3200000003"/>
    <s v="Unearmarked"/>
    <s v="GR-ECHO-2024"/>
    <d v="2026-09-07T00:00:00"/>
    <s v="All Pillars"/>
    <d v="2026-04-15T23:22:37"/>
  </r>
  <r>
    <s v="REV-2026-0075"/>
    <d v="2025-03-23T00:00:00"/>
    <x v="1"/>
    <x v="1"/>
    <s v="EUR"/>
    <n v="194719"/>
    <n v="1.08"/>
    <n v="210296.52000000002"/>
    <s v="Tightly Earmarked"/>
    <s v="GR-Volu-2025"/>
    <d v="2027-03-23T00:00:00"/>
    <s v="Nutrition &amp; Food Security"/>
    <d v="2026-04-15T23:22:37"/>
  </r>
  <r>
    <s v="REV-2026-0076"/>
    <d v="2024-07-22T00:00:00"/>
    <x v="1"/>
    <x v="1"/>
    <s v="EUR"/>
    <n v="3243806"/>
    <n v="1.08"/>
    <n v="3503310.4800000004"/>
    <s v="Softly Earmarked"/>
    <s v="GR-Volu-2024"/>
    <d v="2028-07-22T00:00:00"/>
    <s v="All Pillars"/>
    <d v="2026-04-15T23:22:37"/>
  </r>
  <r>
    <s v="REV-2026-0077"/>
    <d v="2023-04-26T00:00:00"/>
    <x v="1"/>
    <x v="2"/>
    <s v="EUR"/>
    <n v="4044840"/>
    <n v="1.08"/>
    <n v="4368427.2"/>
    <s v="Tightly Earmarked"/>
    <s v="GR-Volu-2023"/>
    <d v="2027-04-26T00:00:00"/>
    <s v="Emergency Response"/>
    <d v="2026-04-15T23:22:37"/>
  </r>
  <r>
    <s v="REV-2026-0078"/>
    <d v="2024-12-16T00:00:00"/>
    <x v="0"/>
    <x v="2"/>
    <s v="CHF"/>
    <n v="2956764"/>
    <n v="1.1399999999999999"/>
    <n v="3370710.9599999995"/>
    <s v="Unearmarked"/>
    <s v="GR-ECHO-2024"/>
    <d v="2027-12-16T00:00:00"/>
    <s v="All Pillars"/>
    <d v="2026-04-15T23:22:37"/>
  </r>
  <r>
    <s v="REV-2026-0079"/>
    <d v="2025-02-16T00:00:00"/>
    <x v="0"/>
    <x v="3"/>
    <s v="GBP"/>
    <n v="3475867"/>
    <n v="1.27"/>
    <n v="4414351.09"/>
    <s v="Unearmarked"/>
    <s v="GR-ECHO-2025"/>
    <d v="2028-02-16T00:00:00"/>
    <s v="All Pillars"/>
    <d v="2026-04-15T23:22:37"/>
  </r>
  <r>
    <s v="REV-2026-0080"/>
    <d v="2025-02-08T00:00:00"/>
    <x v="1"/>
    <x v="2"/>
    <s v="USD"/>
    <n v="811545"/>
    <n v="1"/>
    <n v="811545"/>
    <s v="Unearmarked"/>
    <s v="GR-Volu-2025"/>
    <d v="2028-02-08T00:00:00"/>
    <s v="All Pillars"/>
    <d v="2026-04-15T23:22:37"/>
  </r>
  <r>
    <s v="REV-2026-0081"/>
    <d v="2024-03-20T00:00:00"/>
    <x v="2"/>
    <x v="3"/>
    <s v="CHF"/>
    <n v="2142127"/>
    <n v="1.1399999999999999"/>
    <n v="2442024.7799999998"/>
    <s v="Softly Earmarked"/>
    <s v="GR-Regu-2024"/>
    <d v="2028-03-20T00:00:00"/>
    <s v="All Pillars"/>
    <d v="2026-04-15T23:22:37"/>
  </r>
  <r>
    <s v="REV-2026-0082"/>
    <d v="2025-10-15T00:00:00"/>
    <x v="0"/>
    <x v="3"/>
    <s v="GBP"/>
    <n v="2823747"/>
    <n v="1.27"/>
    <n v="3586158.69"/>
    <s v="Unearmarked"/>
    <s v="GR-ECHO-2025"/>
    <d v="2029-10-15T00:00:00"/>
    <s v="All Pillars"/>
    <d v="2026-04-15T23:22:37"/>
  </r>
  <r>
    <s v="REV-2026-0083"/>
    <d v="2024-12-03T00:00:00"/>
    <x v="5"/>
    <x v="2"/>
    <s v="GBP"/>
    <n v="754833"/>
    <n v="1.27"/>
    <n v="958637.91"/>
    <s v="Softly Earmarked"/>
    <s v="GR-Sida-2024"/>
    <d v="2028-12-03T00:00:00"/>
    <s v="All Pillars"/>
    <d v="2026-04-15T23:22:37"/>
  </r>
  <r>
    <s v="REV-2026-0084"/>
    <d v="2026-01-11T00:00:00"/>
    <x v="2"/>
    <x v="3"/>
    <s v="SEK"/>
    <n v="3875293"/>
    <n v="9.5000000000000001E-2"/>
    <n v="368152.83500000002"/>
    <s v="Tightly Earmarked"/>
    <s v="GR-Regu-2026"/>
    <d v="2030-01-11T00:00:00"/>
    <s v="Gender &amp; Youth Empowerment"/>
    <d v="2026-04-15T23:22:37"/>
  </r>
  <r>
    <s v="REV-2026-0085"/>
    <d v="2025-11-10T00:00:00"/>
    <x v="4"/>
    <x v="2"/>
    <s v="SEK"/>
    <n v="3240284"/>
    <n v="9.5000000000000001E-2"/>
    <n v="307826.98"/>
    <s v="Tightly Earmarked"/>
    <s v="GR-SECO-2025"/>
    <d v="2028-11-10T00:00:00"/>
    <s v="Emergency Response"/>
    <d v="2026-04-15T23:22: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ALL-2026-0001"/>
    <s v="PROJ-Agri-046"/>
    <s v="Strengthening Coffee Value Chain - Phase 1"/>
    <x v="0"/>
    <s v="REV-2026-0046"/>
    <n v="104705"/>
    <d v="2026-02-01T00:00:00"/>
    <s v="Finance Committee"/>
    <d v="2026-04-15T23:22:37"/>
  </r>
  <r>
    <s v="ALL-2026-0002"/>
    <s v="PROJ-Clim-028"/>
    <s v="Strengthening Coffee Value Chain - Phase 1"/>
    <x v="1"/>
    <s v="REV-2026-0062"/>
    <n v="70776"/>
    <d v="2025-08-21T00:00:00"/>
    <s v="Finance Committee"/>
    <d v="2026-04-15T23:22:37"/>
  </r>
  <r>
    <s v="ALL-2026-0003"/>
    <s v="PROJ-Agri-047"/>
    <s v="Maternal Nutrition Programme - Phase 1"/>
    <x v="0"/>
    <s v="REV-2026-0065"/>
    <n v="248220"/>
    <d v="2025-06-10T00:00:00"/>
    <s v="Country Director"/>
    <d v="2026-04-15T23:22:37"/>
  </r>
  <r>
    <s v="ALL-2026-0004"/>
    <s v="PROJ-Nutr-028"/>
    <s v="Women in Agribusiness - Phase 1"/>
    <x v="2"/>
    <s v="REV-2026-0073"/>
    <n v="52319"/>
    <d v="2025-06-26T00:00:00"/>
    <s v="Country Director"/>
    <d v="2026-04-15T23:22:37"/>
  </r>
  <r>
    <s v="ALL-2026-0005"/>
    <s v="PROJ-Clim-003"/>
    <s v="Soil Health Initiative - Phase 1"/>
    <x v="1"/>
    <s v="REV-2026-0006"/>
    <n v="156170"/>
    <d v="2024-11-04T00:00:00"/>
    <s v="Programme Manager"/>
    <d v="2026-04-15T23:22:37"/>
  </r>
  <r>
    <s v="ALL-2026-0006"/>
    <s v="PROJ-Gend-043"/>
    <s v="Digital Extension Services - Phase 3"/>
    <x v="3"/>
    <s v="REV-2026-0067"/>
    <n v="240680"/>
    <d v="2024-09-08T00:00:00"/>
    <s v="Finance Committee"/>
    <d v="2026-04-15T23:22:37"/>
  </r>
  <r>
    <s v="ALL-2026-0007"/>
    <s v="PROJ-Clim-025"/>
    <s v="Women in Agribusiness - Phase 2"/>
    <x v="1"/>
    <s v="REV-2026-0017"/>
    <n v="244570"/>
    <d v="2025-04-14T00:00:00"/>
    <s v="Finance Committee"/>
    <d v="2026-04-15T23:22:37"/>
  </r>
  <r>
    <s v="ALL-2026-0008"/>
    <s v="PROJ-Agri-013"/>
    <s v="Drought Emergency Response - Phase 2"/>
    <x v="0"/>
    <s v="REV-2026-0073"/>
    <n v="114374"/>
    <d v="2024-12-28T00:00:00"/>
    <s v="Finance Committee"/>
    <d v="2026-04-15T23:22:37"/>
  </r>
  <r>
    <s v="ALL-2026-0009"/>
    <s v="PROJ-Gend-033"/>
    <s v="Climate-Smart Agriculture - Phase 3"/>
    <x v="3"/>
    <s v="REV-2026-0010"/>
    <n v="54437"/>
    <d v="2025-04-04T00:00:00"/>
    <s v="Programme Manager"/>
    <d v="2026-04-15T23:22:37"/>
  </r>
  <r>
    <s v="ALL-2026-0010"/>
    <s v="PROJ-Emer-043"/>
    <s v="Drought Emergency Response - Phase 3"/>
    <x v="4"/>
    <s v="REV-2026-0058"/>
    <n v="276917"/>
    <d v="2025-08-20T00:00:00"/>
    <s v="Finance Committee"/>
    <d v="2026-04-15T23:22:37"/>
  </r>
  <r>
    <s v="ALL-2026-0011"/>
    <s v="PROJ-Nutr-013"/>
    <s v="Soil Health Initiative - Phase 1"/>
    <x v="2"/>
    <s v="REV-2026-0004"/>
    <n v="251785"/>
    <d v="2024-10-04T00:00:00"/>
    <s v="Programme Manager"/>
    <d v="2026-04-15T23:22:37"/>
  </r>
  <r>
    <s v="ALL-2026-0012"/>
    <s v="PROJ-Agri-048"/>
    <s v="Digital Extension Services - Phase 3"/>
    <x v="0"/>
    <s v="REV-2026-0008"/>
    <n v="456824"/>
    <d v="2025-05-12T00:00:00"/>
    <s v="Finance Committee"/>
    <d v="2026-04-15T23:22:37"/>
  </r>
  <r>
    <s v="ALL-2026-0013"/>
    <s v="PROJ-Gend-012"/>
    <s v="Digital Extension Services - Phase 3"/>
    <x v="3"/>
    <s v="REV-2026-0040"/>
    <n v="127630"/>
    <d v="2025-04-10T00:00:00"/>
    <s v="Programme Manager"/>
    <d v="2026-04-15T23:22:37"/>
  </r>
  <r>
    <s v="ALL-2026-0014"/>
    <s v="PROJ-Gend-005"/>
    <s v="Soil Health Initiative - Phase 1"/>
    <x v="3"/>
    <s v="REV-2026-0016"/>
    <n v="507611"/>
    <d v="2024-05-31T00:00:00"/>
    <s v="Programme Manager"/>
    <d v="2026-04-15T23:22:37"/>
  </r>
  <r>
    <s v="ALL-2026-0015"/>
    <s v="PROJ-Poli-039"/>
    <s v="Soil Health Initiative - Phase 1"/>
    <x v="5"/>
    <s v="REV-2026-0008"/>
    <n v="97989"/>
    <d v="2025-10-19T00:00:00"/>
    <s v="Programme Manager"/>
    <d v="2026-04-15T23:22:37"/>
  </r>
  <r>
    <s v="ALL-2026-0016"/>
    <s v="PROJ-Nutr-007"/>
    <s v="Drought Emergency Response - Phase 3"/>
    <x v="2"/>
    <s v="REV-2026-0028"/>
    <n v="407795"/>
    <d v="2024-07-14T00:00:00"/>
    <s v="Programme Manager"/>
    <d v="2026-04-15T23:22:37"/>
  </r>
  <r>
    <s v="ALL-2026-0017"/>
    <s v="PROJ-Nutr-016"/>
    <s v="Soil Health Initiative - Phase 3"/>
    <x v="2"/>
    <s v="REV-2026-0076"/>
    <n v="203875"/>
    <d v="2024-10-28T00:00:00"/>
    <s v="Country Director"/>
    <d v="2026-04-15T23:22:37"/>
  </r>
  <r>
    <s v="ALL-2026-0018"/>
    <s v="PROJ-Emer-006"/>
    <s v="Drought Emergency Response - Phase 2"/>
    <x v="4"/>
    <s v="REV-2026-0009"/>
    <n v="260889"/>
    <d v="2024-12-18T00:00:00"/>
    <s v="Programme Manager"/>
    <d v="2026-04-15T23:22:37"/>
  </r>
  <r>
    <s v="ALL-2026-0019"/>
    <s v="PROJ-Poli-028"/>
    <s v="Food Safety Policy Reform - Phase 2"/>
    <x v="5"/>
    <s v="REV-2026-0009"/>
    <n v="111307"/>
    <d v="2024-05-06T00:00:00"/>
    <s v="Country Director"/>
    <d v="2026-04-15T23:22:37"/>
  </r>
  <r>
    <s v="ALL-2026-0020"/>
    <s v="PROJ-Nutr-018"/>
    <s v="Digital Extension Services - Phase 1"/>
    <x v="2"/>
    <s v="REV-2026-0031"/>
    <n v="295411"/>
    <d v="2024-06-13T00:00:00"/>
    <s v="Programme Manager"/>
    <d v="2026-04-15T23:22:37"/>
  </r>
  <r>
    <s v="ALL-2026-0021"/>
    <s v="PROJ-Nutr-022"/>
    <s v="Digital Extension Services - Phase 2"/>
    <x v="2"/>
    <s v="REV-2026-0016"/>
    <n v="111298"/>
    <d v="2025-11-07T00:00:00"/>
    <s v="Programme Manager"/>
    <d v="2026-04-15T23:22:37"/>
  </r>
  <r>
    <s v="ALL-2026-0022"/>
    <s v="PROJ-Agri-021"/>
    <s v="Strengthening Coffee Value Chain - Phase 1"/>
    <x v="0"/>
    <s v="REV-2026-0017"/>
    <n v="364875"/>
    <d v="2025-03-23T00:00:00"/>
    <s v="Programme Manager"/>
    <d v="2026-04-15T23:22:37"/>
  </r>
  <r>
    <s v="ALL-2026-0023"/>
    <s v="PROJ-Nutr-007"/>
    <s v="Strengthening Coffee Value Chain - Phase 2"/>
    <x v="2"/>
    <s v="REV-2026-0074"/>
    <n v="119864"/>
    <d v="2024-05-02T00:00:00"/>
    <s v="Country Director"/>
    <d v="2026-04-15T23:22:37"/>
  </r>
  <r>
    <s v="ALL-2026-0024"/>
    <s v="PROJ-Nutr-007"/>
    <s v="Strengthening Coffee Value Chain - Phase 1"/>
    <x v="2"/>
    <s v="REV-2026-0083"/>
    <n v="447797"/>
    <d v="2025-01-14T00:00:00"/>
    <s v="Programme Manager"/>
    <d v="2026-04-15T23:22:37"/>
  </r>
  <r>
    <s v="ALL-2026-0025"/>
    <s v="PROJ-Emer-006"/>
    <s v="Drought Emergency Response - Phase 1"/>
    <x v="4"/>
    <s v="REV-2026-0011"/>
    <n v="178021"/>
    <d v="2024-04-15T00:00:00"/>
    <s v="Programme Manager"/>
    <d v="2026-04-15T23:22:37"/>
  </r>
  <r>
    <s v="ALL-2026-0026"/>
    <s v="PROJ-Nutr-028"/>
    <s v="Maternal Nutrition Programme - Phase 2"/>
    <x v="2"/>
    <s v="REV-2026-0023"/>
    <n v="147694"/>
    <d v="2025-02-17T00:00:00"/>
    <s v="Finance Committee"/>
    <d v="2026-04-15T23:22:37"/>
  </r>
  <r>
    <s v="ALL-2026-0027"/>
    <s v="PROJ-Clim-004"/>
    <s v="Food Safety Policy Reform - Phase 1"/>
    <x v="1"/>
    <s v="REV-2026-0015"/>
    <n v="451785"/>
    <d v="2025-09-14T00:00:00"/>
    <s v="Country Director"/>
    <d v="2026-04-15T23:22:37"/>
  </r>
  <r>
    <s v="ALL-2026-0028"/>
    <s v="PROJ-Emer-001"/>
    <s v="Drought Emergency Response - Phase 1"/>
    <x v="4"/>
    <s v="REV-2026-0080"/>
    <n v="193080"/>
    <d v="2024-03-30T00:00:00"/>
    <s v="Programme Manager"/>
    <d v="2026-04-15T23:22:37"/>
  </r>
  <r>
    <s v="ALL-2026-0029"/>
    <s v="PROJ-Agri-046"/>
    <s v="Food Safety Policy Reform - Phase 2"/>
    <x v="0"/>
    <s v="REV-2026-0041"/>
    <n v="232172"/>
    <d v="2026-01-27T00:00:00"/>
    <s v="Country Director"/>
    <d v="2026-04-15T23:22:37"/>
  </r>
  <r>
    <s v="ALL-2026-0030"/>
    <s v="PROJ-Agri-003"/>
    <s v="Women in Agribusiness - Phase 1"/>
    <x v="0"/>
    <s v="REV-2026-0006"/>
    <n v="437471"/>
    <d v="2024-08-14T00:00:00"/>
    <s v="Programme Manager"/>
    <d v="2026-04-15T23:22:37"/>
  </r>
  <r>
    <s v="ALL-2026-0031"/>
    <s v="PROJ-Nutr-043"/>
    <s v="Strengthening Coffee Value Chain - Phase 1"/>
    <x v="2"/>
    <s v="REV-2026-0067"/>
    <n v="435196"/>
    <d v="2024-05-23T00:00:00"/>
    <s v="Finance Committee"/>
    <d v="2026-04-15T23:22:37"/>
  </r>
  <r>
    <s v="ALL-2026-0032"/>
    <s v="PROJ-Poli-026"/>
    <s v="Soil Health Initiative - Phase 1"/>
    <x v="5"/>
    <s v="REV-2026-0003"/>
    <n v="359382"/>
    <d v="2025-12-31T00:00:00"/>
    <s v="Country Director"/>
    <d v="2026-04-15T23:22:37"/>
  </r>
  <r>
    <s v="ALL-2026-0033"/>
    <s v="PROJ-Nutr-018"/>
    <s v="Drought Emergency Response - Phase 1"/>
    <x v="2"/>
    <s v="REV-2026-0004"/>
    <n v="101874"/>
    <d v="2025-02-23T00:00:00"/>
    <s v="Programme Manager"/>
    <d v="2026-04-15T23:22:37"/>
  </r>
  <r>
    <s v="ALL-2026-0034"/>
    <s v="PROJ-Gend-022"/>
    <s v="Drought Emergency Response - Phase 2"/>
    <x v="3"/>
    <s v="REV-2026-0035"/>
    <n v="62330"/>
    <d v="2025-08-18T00:00:00"/>
    <s v="Finance Committee"/>
    <d v="2026-04-15T23:22:37"/>
  </r>
  <r>
    <s v="ALL-2026-0035"/>
    <s v="PROJ-Clim-003"/>
    <s v="Soil Health Initiative - Phase 1"/>
    <x v="1"/>
    <s v="REV-2026-0043"/>
    <n v="398221"/>
    <d v="2024-05-02T00:00:00"/>
    <s v="Country Director"/>
    <d v="2026-04-15T23:22:37"/>
  </r>
  <r>
    <s v="ALL-2026-0036"/>
    <s v="PROJ-Gend-009"/>
    <s v="Digital Extension Services - Phase 1"/>
    <x v="3"/>
    <s v="REV-2026-0004"/>
    <n v="274831"/>
    <d v="2024-04-01T00:00:00"/>
    <s v="Finance Committee"/>
    <d v="2026-04-15T23:22:37"/>
  </r>
  <r>
    <s v="ALL-2026-0037"/>
    <s v="PROJ-Emer-047"/>
    <s v="Strengthening Coffee Value Chain - Phase 3"/>
    <x v="4"/>
    <s v="REV-2026-0052"/>
    <n v="115253"/>
    <d v="2025-06-12T00:00:00"/>
    <s v="Finance Committee"/>
    <d v="2026-04-15T23:22:37"/>
  </r>
  <r>
    <s v="ALL-2026-0038"/>
    <s v="PROJ-Emer-013"/>
    <s v="Maternal Nutrition Programme - Phase 2"/>
    <x v="4"/>
    <s v="REV-2026-0004"/>
    <n v="350398"/>
    <d v="2026-02-05T00:00:00"/>
    <s v="Programme Manager"/>
    <d v="2026-04-15T23:22:37"/>
  </r>
  <r>
    <s v="ALL-2026-0039"/>
    <s v="PROJ-Agri-009"/>
    <s v="Climate-Smart Agriculture - Phase 3"/>
    <x v="0"/>
    <s v="REV-2026-0008"/>
    <n v="168986"/>
    <d v="2025-06-21T00:00:00"/>
    <s v="Finance Committee"/>
    <d v="2026-04-15T23:22:37"/>
  </r>
  <r>
    <s v="ALL-2026-0040"/>
    <s v="PROJ-Nutr-026"/>
    <s v="Food Safety Policy Reform - Phase 2"/>
    <x v="2"/>
    <s v="REV-2026-0065"/>
    <n v="267549"/>
    <d v="2024-12-03T00:00:00"/>
    <s v="Finance Committee"/>
    <d v="2026-04-15T23:22:37"/>
  </r>
  <r>
    <s v="ALL-2026-0041"/>
    <s v="PROJ-Emer-012"/>
    <s v="Strengthening Coffee Value Chain - Phase 2"/>
    <x v="4"/>
    <s v="REV-2026-0079"/>
    <n v="100434"/>
    <d v="2024-11-26T00:00:00"/>
    <s v="Country Director"/>
    <d v="2026-04-15T23:22:37"/>
  </r>
  <r>
    <s v="ALL-2026-0042"/>
    <s v="PROJ-Poli-001"/>
    <s v="Maternal Nutrition Programme - Phase 1"/>
    <x v="5"/>
    <s v="REV-2026-0066"/>
    <n v="129799"/>
    <d v="2025-12-17T00:00:00"/>
    <s v="Country Director"/>
    <d v="2026-04-15T23:22:37"/>
  </r>
  <r>
    <s v="ALL-2026-0043"/>
    <s v="PROJ-Agri-039"/>
    <s v="Climate-Smart Agriculture - Phase 1"/>
    <x v="0"/>
    <s v="REV-2026-0029"/>
    <n v="75614"/>
    <d v="2025-09-26T00:00:00"/>
    <s v="Country Director"/>
    <d v="2026-04-15T23:22:37"/>
  </r>
  <r>
    <s v="ALL-2026-0044"/>
    <s v="PROJ-Poli-004"/>
    <s v="Maternal Nutrition Programme - Phase 1"/>
    <x v="5"/>
    <s v="REV-2026-0081"/>
    <n v="165663"/>
    <d v="2025-12-17T00:00:00"/>
    <s v="Finance Committee"/>
    <d v="2026-04-15T23:22:37"/>
  </r>
  <r>
    <s v="ALL-2026-0045"/>
    <s v="PROJ-Emer-038"/>
    <s v="Drought Emergency Response - Phase 3"/>
    <x v="4"/>
    <s v="REV-2026-0068"/>
    <n v="385542"/>
    <d v="2025-06-18T00:00:00"/>
    <s v="Finance Committee"/>
    <d v="2026-04-15T23:22:37"/>
  </r>
  <r>
    <s v="ALL-2026-0046"/>
    <s v="PROJ-Emer-014"/>
    <s v="Digital Extension Services - Phase 2"/>
    <x v="4"/>
    <s v="REV-2026-0033"/>
    <n v="228658"/>
    <d v="2025-02-28T00:00:00"/>
    <s v="Country Director"/>
    <d v="2026-04-15T23:22:37"/>
  </r>
  <r>
    <s v="ALL-2026-0047"/>
    <s v="PROJ-Gend-018"/>
    <s v="Digital Extension Services - Phase 3"/>
    <x v="3"/>
    <s v="REV-2026-0003"/>
    <n v="446232"/>
    <d v="2025-01-26T00:00:00"/>
    <s v="Finance Committee"/>
    <d v="2026-04-15T23:22:37"/>
  </r>
  <r>
    <s v="ALL-2026-0048"/>
    <s v="PROJ-Poli-020"/>
    <s v="Climate-Smart Agriculture - Phase 1"/>
    <x v="5"/>
    <s v="REV-2026-0035"/>
    <n v="297298"/>
    <d v="2025-04-21T00:00:00"/>
    <s v="Country Director"/>
    <d v="2026-04-15T23:22:37"/>
  </r>
  <r>
    <s v="ALL-2026-0049"/>
    <s v="PROJ-Agri-002"/>
    <s v="Strengthening Coffee Value Chain - Phase 3"/>
    <x v="0"/>
    <s v="REV-2026-0001"/>
    <n v="298701"/>
    <d v="2025-01-21T00:00:00"/>
    <s v="Programme Manager"/>
    <d v="2026-04-15T23:22:37"/>
  </r>
  <r>
    <s v="ALL-2026-0050"/>
    <s v="PROJ-Agri-027"/>
    <s v="Climate-Smart Agriculture - Phase 3"/>
    <x v="0"/>
    <s v="REV-2026-0054"/>
    <n v="475100"/>
    <d v="2025-08-18T00:00:00"/>
    <s v="Country Director"/>
    <d v="2026-04-15T23:22:37"/>
  </r>
  <r>
    <s v="ALL-2026-0051"/>
    <s v="PROJ-Emer-023"/>
    <s v="Maternal Nutrition Programme - Phase 1"/>
    <x v="4"/>
    <s v="REV-2026-0080"/>
    <n v="108964"/>
    <d v="2025-05-30T00:00:00"/>
    <s v="Finance Committee"/>
    <d v="2026-04-15T23:22:37"/>
  </r>
  <r>
    <s v="ALL-2026-0052"/>
    <s v="PROJ-Poli-050"/>
    <s v="Women in Agribusiness - Phase 1"/>
    <x v="5"/>
    <s v="REV-2026-0077"/>
    <n v="490578"/>
    <d v="2024-11-19T00:00:00"/>
    <s v="Finance Committee"/>
    <d v="2026-04-15T23:22:37"/>
  </r>
  <r>
    <s v="ALL-2026-0053"/>
    <s v="PROJ-Gend-030"/>
    <s v="Food Safety Policy Reform - Phase 2"/>
    <x v="3"/>
    <s v="REV-2026-0028"/>
    <n v="168037"/>
    <d v="2025-08-16T00:00:00"/>
    <s v="Country Director"/>
    <d v="2026-04-15T23:22:37"/>
  </r>
  <r>
    <s v="ALL-2026-0054"/>
    <s v="PROJ-Clim-018"/>
    <s v="Maternal Nutrition Programme - Phase 1"/>
    <x v="1"/>
    <s v="REV-2026-0027"/>
    <n v="197250"/>
    <d v="2025-04-22T00:00:00"/>
    <s v="Country Director"/>
    <d v="2026-04-15T23:22:37"/>
  </r>
  <r>
    <s v="ALL-2026-0055"/>
    <s v="PROJ-Clim-031"/>
    <s v="Soil Health Initiative - Phase 2"/>
    <x v="1"/>
    <s v="REV-2026-0073"/>
    <n v="391936"/>
    <d v="2024-09-10T00:00:00"/>
    <s v="Country Director"/>
    <d v="2026-04-15T23:22:37"/>
  </r>
  <r>
    <s v="ALL-2026-0056"/>
    <s v="PROJ-Agri-021"/>
    <s v="Climate-Smart Agriculture - Phase 1"/>
    <x v="0"/>
    <s v="REV-2026-0019"/>
    <n v="73629"/>
    <d v="2024-08-22T00:00:00"/>
    <s v="Country Director"/>
    <d v="2026-04-15T23:22:37"/>
  </r>
  <r>
    <s v="ALL-2026-0057"/>
    <s v="PROJ-Emer-049"/>
    <s v="Climate-Smart Agriculture - Phase 3"/>
    <x v="4"/>
    <s v="REV-2026-0045"/>
    <n v="321675"/>
    <d v="2025-02-08T00:00:00"/>
    <s v="Programme Manager"/>
    <d v="2026-04-15T23:22:37"/>
  </r>
  <r>
    <s v="ALL-2026-0058"/>
    <s v="PROJ-Emer-013"/>
    <s v="Drought Emergency Response - Phase 1"/>
    <x v="4"/>
    <s v="REV-2026-0019"/>
    <n v="223232"/>
    <d v="2026-02-17T00:00:00"/>
    <s v="Country Director"/>
    <d v="2026-04-15T23:22:37"/>
  </r>
  <r>
    <s v="ALL-2026-0059"/>
    <s v="PROJ-Emer-019"/>
    <s v="Digital Extension Services - Phase 2"/>
    <x v="4"/>
    <s v="REV-2026-0048"/>
    <n v="123271"/>
    <d v="2024-11-08T00:00:00"/>
    <s v="Finance Committee"/>
    <d v="2026-04-15T23:22:37"/>
  </r>
  <r>
    <s v="ALL-2026-0060"/>
    <s v="PROJ-Poli-009"/>
    <s v="Food Safety Policy Reform - Phase 2"/>
    <x v="5"/>
    <s v="REV-2026-0013"/>
    <n v="374575"/>
    <d v="2024-07-07T00:00:00"/>
    <s v="Finance Committee"/>
    <d v="2026-04-15T23:22:37"/>
  </r>
  <r>
    <s v="ALL-2026-0061"/>
    <s v="PROJ-Agri-037"/>
    <s v="Strengthening Coffee Value Chain - Phase 2"/>
    <x v="0"/>
    <s v="REV-2026-0036"/>
    <n v="87740"/>
    <d v="2025-06-08T00:00:00"/>
    <s v="Programme Manager"/>
    <d v="2026-04-15T23:22:37"/>
  </r>
  <r>
    <s v="ALL-2026-0062"/>
    <s v="PROJ-Agri-038"/>
    <s v="Strengthening Coffee Value Chain - Phase 3"/>
    <x v="0"/>
    <s v="REV-2026-0010"/>
    <n v="381173"/>
    <d v="2026-01-14T00:00:00"/>
    <s v="Programme Manager"/>
    <d v="2026-04-15T23:22:37"/>
  </r>
  <r>
    <s v="ALL-2026-0063"/>
    <s v="PROJ-Clim-012"/>
    <s v="Strengthening Coffee Value Chain - Phase 2"/>
    <x v="1"/>
    <s v="REV-2026-0070"/>
    <n v="131096"/>
    <d v="2025-11-01T00:00:00"/>
    <s v="Finance Committee"/>
    <d v="2026-04-15T23:22:37"/>
  </r>
  <r>
    <s v="ALL-2026-0064"/>
    <s v="PROJ-Nutr-041"/>
    <s v="Drought Emergency Response - Phase 1"/>
    <x v="2"/>
    <s v="REV-2026-0039"/>
    <n v="221542"/>
    <d v="2024-06-10T00:00:00"/>
    <s v="Country Director"/>
    <d v="2026-04-15T23:22:37"/>
  </r>
  <r>
    <s v="ALL-2026-0065"/>
    <s v="PROJ-Gend-018"/>
    <s v="Maternal Nutrition Programme - Phase 3"/>
    <x v="3"/>
    <s v="REV-2026-0065"/>
    <n v="294356"/>
    <d v="2024-07-20T00:00:00"/>
    <s v="Finance Committee"/>
    <d v="2026-04-15T23:22:37"/>
  </r>
  <r>
    <s v="ALL-2026-0066"/>
    <s v="PROJ-Nutr-021"/>
    <s v="Soil Health Initiative - Phase 2"/>
    <x v="2"/>
    <s v="REV-2026-0067"/>
    <n v="499197"/>
    <d v="2024-12-19T00:00:00"/>
    <s v="Finance Committee"/>
    <d v="2026-04-15T23:22:37"/>
  </r>
  <r>
    <s v="ALL-2026-0067"/>
    <s v="PROJ-Nutr-038"/>
    <s v="Digital Extension Services - Phase 2"/>
    <x v="2"/>
    <s v="REV-2026-0038"/>
    <n v="243535"/>
    <d v="2025-07-28T00:00:00"/>
    <s v="Finance Committee"/>
    <d v="2026-04-15T23:22:37"/>
  </r>
  <r>
    <s v="ALL-2026-0068"/>
    <s v="PROJ-Agri-043"/>
    <s v="Digital Extension Services - Phase 1"/>
    <x v="0"/>
    <s v="REV-2026-0080"/>
    <n v="442654"/>
    <d v="2024-05-10T00:00:00"/>
    <s v="Programme Manager"/>
    <d v="2026-04-15T23:22:37"/>
  </r>
  <r>
    <s v="ALL-2026-0069"/>
    <s v="PROJ-Gend-020"/>
    <s v="Maternal Nutrition Programme - Phase 3"/>
    <x v="3"/>
    <s v="REV-2026-0029"/>
    <n v="269649"/>
    <d v="2024-05-23T00:00:00"/>
    <s v="Finance Committee"/>
    <d v="2026-04-15T23:22:37"/>
  </r>
  <r>
    <s v="ALL-2026-0070"/>
    <s v="PROJ-Emer-037"/>
    <s v="Maternal Nutrition Programme - Phase 3"/>
    <x v="4"/>
    <s v="REV-2026-0002"/>
    <n v="405429"/>
    <d v="2024-11-07T00:00:00"/>
    <s v="Programme Manager"/>
    <d v="2026-04-15T23:22:37"/>
  </r>
  <r>
    <s v="ALL-2026-0071"/>
    <s v="PROJ-Emer-023"/>
    <s v="Climate-Smart Agriculture - Phase 1"/>
    <x v="4"/>
    <s v="REV-2026-0016"/>
    <n v="288714"/>
    <d v="2026-01-01T00:00:00"/>
    <s v="Country Director"/>
    <d v="2026-04-15T23:22:37"/>
  </r>
  <r>
    <s v="ALL-2026-0072"/>
    <s v="PROJ-Clim-042"/>
    <s v="Strengthening Coffee Value Chain - Phase 2"/>
    <x v="1"/>
    <s v="REV-2026-0031"/>
    <n v="366037"/>
    <d v="2026-03-13T00:00:00"/>
    <s v="Programme Manager"/>
    <d v="2026-04-15T23:22:37"/>
  </r>
  <r>
    <s v="ALL-2026-0073"/>
    <s v="PROJ-Nutr-019"/>
    <s v="Strengthening Coffee Value Chain - Phase 2"/>
    <x v="2"/>
    <s v="REV-2026-0080"/>
    <n v="341744"/>
    <d v="2024-11-22T00:00:00"/>
    <s v="Programme Manager"/>
    <d v="2026-04-15T23:22:37"/>
  </r>
  <r>
    <s v="ALL-2026-0074"/>
    <s v="PROJ-Emer-013"/>
    <s v="Women in Agribusiness - Phase 1"/>
    <x v="4"/>
    <s v="REV-2026-0050"/>
    <n v="427994"/>
    <d v="2025-08-20T00:00:00"/>
    <s v="Programme Manager"/>
    <d v="2026-04-15T23:22:37"/>
  </r>
  <r>
    <s v="ALL-2026-0075"/>
    <s v="PROJ-Poli-043"/>
    <s v="Food Safety Policy Reform - Phase 1"/>
    <x v="5"/>
    <s v="REV-2026-0071"/>
    <n v="94757"/>
    <d v="2025-01-22T00:00:00"/>
    <s v="Programme Manager"/>
    <d v="2026-04-15T23:22:37"/>
  </r>
  <r>
    <s v="ALL-2026-0076"/>
    <s v="PROJ-Emer-015"/>
    <s v="Women in Agribusiness - Phase 2"/>
    <x v="4"/>
    <s v="REV-2026-0045"/>
    <n v="319815"/>
    <d v="2025-11-26T00:00:00"/>
    <s v="Finance Committee"/>
    <d v="2026-04-15T23:22:37"/>
  </r>
  <r>
    <s v="ALL-2026-0077"/>
    <s v="PROJ-Nutr-043"/>
    <s v="Drought Emergency Response - Phase 3"/>
    <x v="2"/>
    <s v="REV-2026-0029"/>
    <n v="338766"/>
    <d v="2025-12-29T00:00:00"/>
    <s v="Country Director"/>
    <d v="2026-04-15T23:22:37"/>
  </r>
  <r>
    <s v="ALL-2026-0078"/>
    <s v="PROJ-Poli-026"/>
    <s v="Maternal Nutrition Programme - Phase 2"/>
    <x v="5"/>
    <s v="REV-2026-0024"/>
    <n v="395017"/>
    <d v="2025-04-02T00:00:00"/>
    <s v="Finance Committee"/>
    <d v="2026-04-15T23:22:37"/>
  </r>
  <r>
    <s v="ALL-2026-0079"/>
    <s v="PROJ-Clim-026"/>
    <s v="Digital Extension Services - Phase 3"/>
    <x v="1"/>
    <s v="REV-2026-0015"/>
    <n v="489788"/>
    <d v="2024-09-08T00:00:00"/>
    <s v="Finance Committee"/>
    <d v="2026-04-15T23:22:37"/>
  </r>
  <r>
    <s v="ALL-2026-0080"/>
    <s v="PROJ-Gend-038"/>
    <s v="Maternal Nutrition Programme - Phase 3"/>
    <x v="3"/>
    <s v="REV-2026-0016"/>
    <n v="132114"/>
    <d v="2025-05-31T00:00:00"/>
    <s v="Finance Committee"/>
    <d v="2026-04-15T23:22:37"/>
  </r>
  <r>
    <s v="ALL-2026-0081"/>
    <s v="PROJ-Poli-016"/>
    <s v="Women in Agribusiness - Phase 2"/>
    <x v="5"/>
    <s v="REV-2026-0027"/>
    <n v="88839"/>
    <d v="2025-08-19T00:00:00"/>
    <s v="Finance Committee"/>
    <d v="2026-04-15T23:22:37"/>
  </r>
  <r>
    <s v="ALL-2026-0082"/>
    <s v="PROJ-Gend-003"/>
    <s v="Climate-Smart Agriculture - Phase 2"/>
    <x v="3"/>
    <s v="REV-2026-0074"/>
    <n v="134623"/>
    <d v="2025-08-21T00:00:00"/>
    <s v="Country Director"/>
    <d v="2026-04-15T23:22:37"/>
  </r>
  <r>
    <s v="ALL-2026-0083"/>
    <s v="PROJ-Emer-048"/>
    <s v="Maternal Nutrition Programme - Phase 1"/>
    <x v="4"/>
    <s v="REV-2026-0084"/>
    <n v="301935"/>
    <d v="2024-10-26T00:00:00"/>
    <s v="Country Director"/>
    <d v="2026-04-15T23:22:37"/>
  </r>
  <r>
    <s v="ALL-2026-0084"/>
    <s v="PROJ-Gend-037"/>
    <s v="Digital Extension Services - Phase 3"/>
    <x v="3"/>
    <s v="REV-2026-0013"/>
    <n v="131058"/>
    <d v="2024-08-30T00:00:00"/>
    <s v="Country Director"/>
    <d v="2026-04-15T23:22:37"/>
  </r>
  <r>
    <s v="ALL-2026-0085"/>
    <s v="PROJ-Poli-017"/>
    <s v="Maternal Nutrition Programme - Phase 3"/>
    <x v="5"/>
    <s v="REV-2026-0056"/>
    <n v="420090"/>
    <d v="2025-09-29T00:00:00"/>
    <s v="Programme Manager"/>
    <d v="2026-04-15T23:22:37"/>
  </r>
  <r>
    <s v="ALL-2026-0086"/>
    <s v="PROJ-Emer-019"/>
    <s v="Maternal Nutrition Programme - Phase 3"/>
    <x v="4"/>
    <s v="REV-2026-0012"/>
    <n v="474937"/>
    <d v="2024-09-25T00:00:00"/>
    <s v="Finance Committee"/>
    <d v="2026-04-15T23:22:37"/>
  </r>
  <r>
    <s v="ALL-2026-0087"/>
    <s v="PROJ-Emer-034"/>
    <s v="Strengthening Coffee Value Chain - Phase 3"/>
    <x v="4"/>
    <s v="REV-2026-0005"/>
    <n v="359320"/>
    <d v="2025-05-24T00:00:00"/>
    <s v="Programme Manager"/>
    <d v="2026-04-15T23:22:37"/>
  </r>
  <r>
    <s v="ALL-2026-0088"/>
    <s v="PROJ-Agri-040"/>
    <s v="Soil Health Initiative - Phase 1"/>
    <x v="0"/>
    <s v="REV-2026-0016"/>
    <n v="144773"/>
    <d v="2025-08-03T00:00:00"/>
    <s v="Programme Manager"/>
    <d v="2026-04-15T23:22:37"/>
  </r>
  <r>
    <s v="ALL-2026-0089"/>
    <s v="PROJ-Poli-021"/>
    <s v="Drought Emergency Response - Phase 1"/>
    <x v="5"/>
    <s v="REV-2026-0012"/>
    <n v="160642"/>
    <d v="2024-04-08T00:00:00"/>
    <s v="Country Director"/>
    <d v="2026-04-15T23:22:37"/>
  </r>
  <r>
    <s v="ALL-2026-0090"/>
    <s v="PROJ-Poli-002"/>
    <s v="Food Safety Policy Reform - Phase 3"/>
    <x v="5"/>
    <s v="REV-2026-0075"/>
    <n v="244084"/>
    <d v="2024-06-22T00:00:00"/>
    <s v="Programme Manager"/>
    <d v="2026-04-15T23:22:37"/>
  </r>
  <r>
    <s v="ALL-2026-0091"/>
    <s v="PROJ-Gend-013"/>
    <s v="Maternal Nutrition Programme - Phase 1"/>
    <x v="3"/>
    <s v="REV-2026-0013"/>
    <n v="490070"/>
    <d v="2024-05-08T00:00:00"/>
    <s v="Finance Committee"/>
    <d v="2026-04-15T23:22:37"/>
  </r>
  <r>
    <s v="ALL-2026-0092"/>
    <s v="PROJ-Clim-022"/>
    <s v="Strengthening Coffee Value Chain - Phase 2"/>
    <x v="1"/>
    <s v="REV-2026-0006"/>
    <n v="501383"/>
    <d v="2026-02-17T00:00:00"/>
    <s v="Country Director"/>
    <d v="2026-04-15T23:22:37"/>
  </r>
  <r>
    <s v="ALL-2026-0093"/>
    <s v="PROJ-Emer-006"/>
    <s v="Food Safety Policy Reform - Phase 3"/>
    <x v="4"/>
    <s v="REV-2026-0047"/>
    <n v="138620"/>
    <d v="2025-02-20T00:00:00"/>
    <s v="Country Director"/>
    <d v="2026-04-15T23:22:37"/>
  </r>
  <r>
    <s v="ALL-2026-0094"/>
    <s v="PROJ-Gend-028"/>
    <s v="Women in Agribusiness - Phase 2"/>
    <x v="3"/>
    <s v="REV-2026-0073"/>
    <n v="270189"/>
    <d v="2024-10-19T00:00:00"/>
    <s v="Country Director"/>
    <d v="2026-04-15T23:22:37"/>
  </r>
  <r>
    <s v="ALL-2026-0095"/>
    <s v="PROJ-Emer-010"/>
    <s v="Strengthening Coffee Value Chain - Phase 3"/>
    <x v="4"/>
    <s v="REV-2026-0006"/>
    <n v="522309"/>
    <d v="2025-08-16T00:00:00"/>
    <s v="Programme Manager"/>
    <d v="2026-04-15T23:22:37"/>
  </r>
  <r>
    <s v="ALL-2026-0096"/>
    <s v="PROJ-Gend-010"/>
    <s v="Climate-Smart Agriculture - Phase 1"/>
    <x v="3"/>
    <s v="REV-2026-0051"/>
    <n v="529014"/>
    <d v="2024-03-23T00:00:00"/>
    <s v="Programme Manager"/>
    <d v="2026-04-15T23:22:37"/>
  </r>
  <r>
    <s v="ALL-2026-0097"/>
    <s v="PROJ-Gend-047"/>
    <s v="Climate-Smart Agriculture - Phase 1"/>
    <x v="3"/>
    <s v="REV-2026-0057"/>
    <n v="182151"/>
    <d v="2024-04-19T00:00:00"/>
    <s v="Programme Manager"/>
    <d v="2026-04-15T23:22:37"/>
  </r>
  <r>
    <s v="ALL-2026-0098"/>
    <s v="PROJ-Poli-023"/>
    <s v="Digital Extension Services - Phase 1"/>
    <x v="5"/>
    <s v="REV-2026-0074"/>
    <n v="381376"/>
    <d v="2025-08-24T00:00:00"/>
    <s v="Programme Manager"/>
    <d v="2026-04-15T23:22:37"/>
  </r>
  <r>
    <s v="ALL-2026-0099"/>
    <s v="PROJ-Gend-002"/>
    <s v="Digital Extension Services - Phase 1"/>
    <x v="3"/>
    <s v="REV-2026-0050"/>
    <n v="284162"/>
    <d v="2025-02-25T00:00:00"/>
    <s v="Finance Committee"/>
    <d v="2026-04-15T23:22:37"/>
  </r>
  <r>
    <s v="ALL-2026-0100"/>
    <s v="PROJ-Agri-032"/>
    <s v="Women in Agribusiness - Phase 3"/>
    <x v="0"/>
    <s v="REV-2026-0046"/>
    <n v="55791"/>
    <d v="2025-10-22T00:00:00"/>
    <s v="Country Director"/>
    <d v="2026-04-15T23:22:37"/>
  </r>
  <r>
    <s v="ALL-2026-0101"/>
    <s v="PROJ-Clim-021"/>
    <s v="Drought Emergency Response - Phase 1"/>
    <x v="1"/>
    <s v="REV-2026-0024"/>
    <n v="119358"/>
    <d v="2025-09-06T00:00:00"/>
    <s v="Country Director"/>
    <d v="2026-04-15T23:22:37"/>
  </r>
  <r>
    <s v="ALL-2026-0102"/>
    <s v="PROJ-Clim-015"/>
    <s v="Strengthening Coffee Value Chain - Phase 1"/>
    <x v="1"/>
    <s v="REV-2026-0059"/>
    <n v="405772"/>
    <d v="2024-12-13T00:00:00"/>
    <s v="Country Director"/>
    <d v="2026-04-15T23:22:37"/>
  </r>
  <r>
    <s v="ALL-2026-0103"/>
    <s v="PROJ-Gend-015"/>
    <s v="Maternal Nutrition Programme - Phase 1"/>
    <x v="3"/>
    <s v="REV-2026-0041"/>
    <n v="103754"/>
    <d v="2024-11-16T00:00:00"/>
    <s v="Programme Manager"/>
    <d v="2026-04-15T23:22:37"/>
  </r>
  <r>
    <s v="ALL-2026-0104"/>
    <s v="PROJ-Nutr-013"/>
    <s v="Strengthening Coffee Value Chain - Phase 1"/>
    <x v="2"/>
    <s v="REV-2026-0058"/>
    <n v="409837"/>
    <d v="2024-10-25T00:00:00"/>
    <s v="Programme Manager"/>
    <d v="2026-04-15T23:22:37"/>
  </r>
  <r>
    <s v="ALL-2026-0105"/>
    <s v="PROJ-Poli-006"/>
    <s v="Climate-Smart Agriculture - Phase 2"/>
    <x v="5"/>
    <s v="REV-2026-0013"/>
    <n v="278367"/>
    <d v="2025-03-24T00:00:00"/>
    <s v="Programme Manager"/>
    <d v="2026-04-15T23:22:37"/>
  </r>
  <r>
    <s v="ALL-2026-0106"/>
    <s v="PROJ-Gend-029"/>
    <s v="Climate-Smart Agriculture - Phase 1"/>
    <x v="3"/>
    <s v="REV-2026-0008"/>
    <n v="171501"/>
    <d v="2024-08-25T00:00:00"/>
    <s v="Finance Committee"/>
    <d v="2026-04-15T23:22:37"/>
  </r>
  <r>
    <s v="ALL-2026-0107"/>
    <s v="PROJ-Clim-027"/>
    <s v="Strengthening Coffee Value Chain - Phase 2"/>
    <x v="1"/>
    <s v="REV-2026-0045"/>
    <n v="309211"/>
    <d v="2024-09-23T00:00:00"/>
    <s v="Programme Manager"/>
    <d v="2026-04-15T23:22:37"/>
  </r>
  <r>
    <s v="ALL-2026-0108"/>
    <s v="PROJ-Gend-030"/>
    <s v="Maternal Nutrition Programme - Phase 2"/>
    <x v="3"/>
    <s v="REV-2026-0068"/>
    <n v="419280"/>
    <d v="2025-03-11T00:00:00"/>
    <s v="Programme Manager"/>
    <d v="2026-04-15T23:22:37"/>
  </r>
  <r>
    <s v="ALL-2026-0109"/>
    <s v="PROJ-Poli-026"/>
    <s v="Digital Extension Services - Phase 1"/>
    <x v="5"/>
    <s v="REV-2026-0007"/>
    <n v="487303"/>
    <d v="2024-11-14T00:00:00"/>
    <s v="Country Director"/>
    <d v="2026-04-15T23:22:37"/>
  </r>
  <r>
    <s v="ALL-2026-0110"/>
    <s v="PROJ-Emer-043"/>
    <s v="Women in Agribusiness - Phase 2"/>
    <x v="4"/>
    <s v="REV-2026-0074"/>
    <n v="506688"/>
    <d v="2024-09-07T00:00:00"/>
    <s v="Finance Committee"/>
    <d v="2026-04-15T23:22:37"/>
  </r>
  <r>
    <s v="ALL-2026-0111"/>
    <s v="PROJ-Agri-013"/>
    <s v="Soil Health Initiative - Phase 3"/>
    <x v="0"/>
    <s v="REV-2026-0044"/>
    <n v="228657"/>
    <d v="2024-08-25T00:00:00"/>
    <s v="Country Director"/>
    <d v="2026-04-15T23:22:37"/>
  </r>
  <r>
    <s v="ALL-2026-0112"/>
    <s v="PROJ-Agri-009"/>
    <s v="Strengthening Coffee Value Chain - Phase 2"/>
    <x v="0"/>
    <s v="REV-2026-0058"/>
    <n v="412243"/>
    <d v="2024-11-13T00:00:00"/>
    <s v="Programme Manager"/>
    <d v="2026-04-15T23:22:37"/>
  </r>
  <r>
    <s v="ALL-2026-0113"/>
    <s v="PROJ-Nutr-010"/>
    <s v="Digital Extension Services - Phase 1"/>
    <x v="2"/>
    <s v="REV-2026-0071"/>
    <n v="74290"/>
    <d v="2024-07-20T00:00:00"/>
    <s v="Finance Committee"/>
    <d v="2026-04-15T23:22:37"/>
  </r>
  <r>
    <s v="ALL-2026-0114"/>
    <s v="PROJ-Gend-032"/>
    <s v="Soil Health Initiative - Phase 2"/>
    <x v="3"/>
    <s v="REV-2026-0068"/>
    <n v="239458"/>
    <d v="2024-12-27T00:00:00"/>
    <s v="Finance Committee"/>
    <d v="2026-04-15T23:22:37"/>
  </r>
  <r>
    <s v="ALL-2026-0115"/>
    <s v="PROJ-Agri-001"/>
    <s v="Maternal Nutrition Programme - Phase 1"/>
    <x v="0"/>
    <s v="REV-2026-0020"/>
    <n v="190217"/>
    <d v="2024-07-28T00:00:00"/>
    <s v="Finance Committee"/>
    <d v="2026-04-15T23:22:37"/>
  </r>
  <r>
    <s v="ALL-2026-0116"/>
    <s v="PROJ-Emer-028"/>
    <s v="Digital Extension Services - Phase 2"/>
    <x v="4"/>
    <s v="REV-2026-0009"/>
    <n v="216851"/>
    <d v="2025-10-14T00:00:00"/>
    <s v="Country Director"/>
    <d v="2026-04-15T23:22:37"/>
  </r>
  <r>
    <s v="ALL-2026-0117"/>
    <s v="PROJ-Emer-033"/>
    <s v="Maternal Nutrition Programme - Phase 1"/>
    <x v="4"/>
    <s v="REV-2026-0017"/>
    <n v="367454"/>
    <d v="2026-03-16T00:00:00"/>
    <s v="Country Director"/>
    <d v="2026-04-15T23:22:37"/>
  </r>
  <r>
    <s v="ALL-2026-0118"/>
    <s v="PROJ-Emer-024"/>
    <s v="Digital Extension Services - Phase 2"/>
    <x v="4"/>
    <s v="REV-2026-0057"/>
    <n v="197936"/>
    <d v="2025-07-03T00:00:00"/>
    <s v="Finance Committee"/>
    <d v="2026-04-15T23:22:37"/>
  </r>
  <r>
    <s v="ALL-2026-0119"/>
    <s v="PROJ-Gend-016"/>
    <s v="Climate-Smart Agriculture - Phase 1"/>
    <x v="3"/>
    <s v="REV-2026-0038"/>
    <n v="522017"/>
    <d v="2024-06-10T00:00:00"/>
    <s v="Country Director"/>
    <d v="2026-04-15T23:22:37"/>
  </r>
  <r>
    <s v="ALL-2026-0120"/>
    <s v="PROJ-Nutr-012"/>
    <s v="Women in Agribusiness - Phase 2"/>
    <x v="2"/>
    <s v="REV-2026-0072"/>
    <n v="161230"/>
    <d v="2025-11-18T00:00:00"/>
    <s v="Finance Committee"/>
    <d v="2026-04-15T23:22:3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XP-2026-0001"/>
    <s v="ALL-2026-0070"/>
    <s v="PROJ-Nutr-022"/>
    <x v="0"/>
    <x v="0"/>
    <s v="Activity: Field Mission"/>
    <n v="11859"/>
    <n v="8934.7176714777943"/>
    <s v="Partially Paid"/>
    <s v="PMT-03220"/>
    <s v="UNOPS"/>
    <d v="2026-04-15T23:22:37"/>
  </r>
  <r>
    <s v="EXP-2026-0002"/>
    <s v="ALL-2026-0026"/>
    <s v="PROJ-Clim-017"/>
    <x v="1"/>
    <x v="1"/>
    <s v="Activity: Training Workshop"/>
    <n v="42598"/>
    <n v="33278.808230912684"/>
    <s v="Partially Paid"/>
    <s v="PMT-10480"/>
    <s v="UNDP Country Office"/>
    <d v="2026-04-15T23:22:37"/>
  </r>
  <r>
    <s v="EXP-2026-0003"/>
    <s v="ALL-2026-0001"/>
    <s v="PROJ-Agri-006"/>
    <x v="2"/>
    <x v="1"/>
    <s v="Activity: Equipment Purchase"/>
    <n v="35594"/>
    <n v="0"/>
    <s v="Open"/>
    <s v="PMT-06584"/>
    <s v="UNOPS"/>
    <d v="2026-04-15T23:22:37"/>
  </r>
  <r>
    <s v="EXP-2026-0004"/>
    <s v="ALL-2026-0094"/>
    <s v="PROJ-Nutr-004"/>
    <x v="3"/>
    <x v="0"/>
    <s v="Activity: Consultancy Days"/>
    <n v="26473"/>
    <n v="0"/>
    <s v="Open"/>
    <s v="PMT-06780"/>
    <s v="Local Partner NGO"/>
    <d v="2026-04-15T23:22:37"/>
  </r>
  <r>
    <s v="EXP-2026-0005"/>
    <s v="ALL-2026-0050"/>
    <s v="PROJ-Poli-016"/>
    <x v="4"/>
    <x v="2"/>
    <s v="Activity: Grant Disbursement"/>
    <n v="31996"/>
    <n v="29308.118864059448"/>
    <s v="Partially Paid"/>
    <s v="PMT-07578"/>
    <s v="Government Ministry"/>
    <d v="2026-04-15T23:22:37"/>
  </r>
  <r>
    <s v="EXP-2026-0006"/>
    <s v="ALL-2026-0015"/>
    <s v="PROJ-Clim-043"/>
    <x v="5"/>
    <x v="3"/>
    <s v="Activity: Consultancy Days"/>
    <n v="26524"/>
    <n v="22255.750171303749"/>
    <s v="Partially Paid"/>
    <s v="PMT-05278"/>
    <s v="UNDP Country Office"/>
    <d v="2026-04-15T23:22:37"/>
  </r>
  <r>
    <s v="EXP-2026-0007"/>
    <s v="ALL-2026-0090"/>
    <s v="PROJ-Clim-005"/>
    <x v="6"/>
    <x v="1"/>
    <s v="Activity: Equipment Purchase"/>
    <n v="46422"/>
    <n v="38601.115711569786"/>
    <s v="Partially Paid"/>
    <s v="PMT-04823"/>
    <s v="Government Ministry"/>
    <d v="2026-04-15T23:22:37"/>
  </r>
  <r>
    <s v="EXP-2026-0008"/>
    <s v="ALL-2026-0072"/>
    <s v="PROJ-Gend-016"/>
    <x v="7"/>
    <x v="3"/>
    <s v="Activity: Equipment Purchase"/>
    <n v="44709"/>
    <n v="42644.798694974183"/>
    <s v="Partially Paid"/>
    <s v="PMT-10290"/>
    <s v="UNOPS"/>
    <d v="2026-04-15T23:22:37"/>
  </r>
  <r>
    <s v="EXP-2026-0009"/>
    <s v="ALL-2026-0068"/>
    <s v="PROJ-Nutr-034"/>
    <x v="8"/>
    <x v="4"/>
    <s v="Activity: Training Workshop"/>
    <n v="42634"/>
    <n v="0"/>
    <s v="Open"/>
    <s v="PMT-09022"/>
    <s v="Private Sector Contractor"/>
    <d v="2026-04-15T23:22:37"/>
  </r>
  <r>
    <s v="EXP-2026-0010"/>
    <s v="ALL-2026-0092"/>
    <s v="PROJ-Clim-002"/>
    <x v="9"/>
    <x v="4"/>
    <s v="Activity: Field Mission"/>
    <n v="23267"/>
    <n v="16567.281144988538"/>
    <s v="Partially Paid"/>
    <s v="PMT-05227"/>
    <s v="UNOPS"/>
    <d v="2026-04-15T23:22:37"/>
  </r>
  <r>
    <s v="EXP-2026-0011"/>
    <s v="ALL-2026-0023"/>
    <s v="PROJ-Agri-031"/>
    <x v="10"/>
    <x v="0"/>
    <s v="Activity: Field Mission"/>
    <n v="31086"/>
    <n v="24012.915069186685"/>
    <s v="Partially Paid"/>
    <s v="PMT-10711"/>
    <s v="UNDP Country Office"/>
    <d v="2026-04-15T23:22:37"/>
  </r>
  <r>
    <s v="EXP-2026-0012"/>
    <s v="ALL-2026-0007"/>
    <s v="PROJ-Poli-006"/>
    <x v="11"/>
    <x v="1"/>
    <s v="Activity: Equipment Purchase"/>
    <n v="35260"/>
    <n v="32226.46512174606"/>
    <s v="Partially Paid"/>
    <s v="PMT-02945"/>
    <s v="UNDP Country Office"/>
    <d v="2026-04-15T23:22:37"/>
  </r>
  <r>
    <s v="EXP-2026-0013"/>
    <s v="ALL-2026-0060"/>
    <s v="PROJ-Nutr-006"/>
    <x v="12"/>
    <x v="1"/>
    <s v="Activity: Training Workshop"/>
    <n v="44039"/>
    <n v="39350.900779896969"/>
    <s v="Partially Paid"/>
    <s v="PMT-10648"/>
    <s v="UNOPS"/>
    <d v="2026-04-15T23:22:37"/>
  </r>
  <r>
    <s v="EXP-2026-0014"/>
    <s v="ALL-2026-0037"/>
    <s v="PROJ-Gend-030"/>
    <x v="13"/>
    <x v="1"/>
    <s v="Activity: Consultancy Days"/>
    <n v="39979"/>
    <n v="0"/>
    <s v="Open"/>
    <s v="PMT-05228"/>
    <s v="Local Partner NGO"/>
    <d v="2026-04-15T23:22:37"/>
  </r>
  <r>
    <s v="EXP-2026-0015"/>
    <s v="ALL-2026-0089"/>
    <s v="PROJ-Poli-037"/>
    <x v="14"/>
    <x v="0"/>
    <s v="Activity: Field Mission"/>
    <n v="39372"/>
    <n v="29824.973562526702"/>
    <s v="Partially Paid"/>
    <s v="PMT-02515"/>
    <s v="UNDP Country Office"/>
    <d v="2026-04-15T23:22:37"/>
  </r>
  <r>
    <s v="EXP-2026-0016"/>
    <s v="ALL-2026-0021"/>
    <s v="PROJ-Poli-042"/>
    <x v="15"/>
    <x v="2"/>
    <s v="Activity: Training Workshop"/>
    <n v="43312"/>
    <n v="32990.34682626724"/>
    <s v="Partially Paid"/>
    <s v="PMT-03463"/>
    <s v="FAO Regional Hub"/>
    <d v="2026-04-15T23:22:37"/>
  </r>
  <r>
    <s v="EXP-2026-0017"/>
    <s v="ALL-2026-0021"/>
    <s v="PROJ-Agri-019"/>
    <x v="16"/>
    <x v="1"/>
    <s v="Activity: Field Mission"/>
    <n v="29897"/>
    <n v="0"/>
    <s v="Open"/>
    <s v="PMT-01651"/>
    <s v="FAO Regional Hub"/>
    <d v="2026-04-15T23:22:37"/>
  </r>
  <r>
    <s v="EXP-2026-0018"/>
    <s v="ALL-2026-0076"/>
    <s v="PROJ-Nutr-040"/>
    <x v="17"/>
    <x v="1"/>
    <s v="Activity: Grant Disbursement"/>
    <n v="44034"/>
    <n v="0"/>
    <s v="Open"/>
    <s v="PMT-03690"/>
    <s v="Government Ministry"/>
    <d v="2026-04-15T23:22:37"/>
  </r>
  <r>
    <s v="EXP-2026-0019"/>
    <s v="ALL-2026-0108"/>
    <s v="PROJ-Nutr-033"/>
    <x v="18"/>
    <x v="2"/>
    <s v="Activity: Equipment Purchase"/>
    <n v="10811"/>
    <n v="7913.5708640933035"/>
    <s v="Partially Paid"/>
    <s v="PMT-03604"/>
    <s v="FAO Regional Hub"/>
    <d v="2026-04-15T23:22:37"/>
  </r>
  <r>
    <s v="EXP-2026-0020"/>
    <s v="ALL-2026-0048"/>
    <s v="PROJ-Nutr-024"/>
    <x v="19"/>
    <x v="0"/>
    <s v="Activity: Training Workshop"/>
    <n v="25250"/>
    <n v="23235.645289719105"/>
    <s v="Partially Paid"/>
    <s v="PMT-07792"/>
    <s v="Local Partner NGO"/>
    <d v="2026-04-15T23:22:37"/>
  </r>
  <r>
    <s v="EXP-2026-0021"/>
    <s v="ALL-2026-0093"/>
    <s v="PROJ-Gend-029"/>
    <x v="20"/>
    <x v="4"/>
    <s v="Activity: Consultancy Days"/>
    <n v="38307"/>
    <n v="38038.199152350426"/>
    <s v="Partially Paid"/>
    <s v="PMT-04320"/>
    <s v="UNOPS"/>
    <d v="2026-04-15T23:22:37"/>
  </r>
  <r>
    <s v="EXP-2026-0022"/>
    <s v="ALL-2026-0052"/>
    <s v="PROJ-Gend-043"/>
    <x v="21"/>
    <x v="0"/>
    <s v="Activity: Equipment Purchase"/>
    <n v="20409"/>
    <n v="20200.829055422542"/>
    <s v="Partially Paid"/>
    <s v="PMT-07410"/>
    <s v="UNOPS"/>
    <d v="2026-04-15T23:22:37"/>
  </r>
  <r>
    <s v="EXP-2026-0023"/>
    <s v="ALL-2026-0107"/>
    <s v="PROJ-Gend-015"/>
    <x v="22"/>
    <x v="3"/>
    <s v="Activity: Equipment Purchase"/>
    <n v="27494"/>
    <n v="0"/>
    <s v="Open"/>
    <s v="PMT-01466"/>
    <s v="Government Ministry"/>
    <d v="2026-04-15T23:22:37"/>
  </r>
  <r>
    <s v="EXP-2026-0024"/>
    <s v="ALL-2026-0023"/>
    <s v="PROJ-Clim-019"/>
    <x v="23"/>
    <x v="1"/>
    <s v="Activity: Grant Disbursement"/>
    <n v="11255"/>
    <n v="0"/>
    <s v="Open"/>
    <s v="PMT-04454"/>
    <s v="Local Partner NGO"/>
    <d v="2026-04-15T23:22:37"/>
  </r>
  <r>
    <s v="EXP-2026-0025"/>
    <s v="ALL-2026-0045"/>
    <s v="PROJ-Clim-002"/>
    <x v="24"/>
    <x v="0"/>
    <s v="Activity: Consultancy Days"/>
    <n v="15638"/>
    <n v="11014.542632651328"/>
    <s v="Partially Paid"/>
    <s v="PMT-05783"/>
    <s v="Private Sector Contractor"/>
    <d v="2026-04-15T23:22:37"/>
  </r>
  <r>
    <s v="EXP-2026-0026"/>
    <s v="ALL-2026-0036"/>
    <s v="PROJ-Clim-008"/>
    <x v="17"/>
    <x v="4"/>
    <s v="Activity: Equipment Purchase"/>
    <n v="28680"/>
    <n v="24779.976556062698"/>
    <s v="Partially Paid"/>
    <s v="PMT-10482"/>
    <s v="Government Ministry"/>
    <d v="2026-04-15T23:22:37"/>
  </r>
  <r>
    <s v="EXP-2026-0027"/>
    <s v="ALL-2026-0111"/>
    <s v="PROJ-Agri-023"/>
    <x v="25"/>
    <x v="5"/>
    <s v="Activity: Training Workshop"/>
    <n v="1940"/>
    <n v="0"/>
    <s v="Open"/>
    <s v="PMT-05069"/>
    <s v="Government Ministry"/>
    <d v="2026-04-15T23:22:37"/>
  </r>
  <r>
    <s v="EXP-2026-0028"/>
    <s v="ALL-2026-0069"/>
    <s v="PROJ-Clim-031"/>
    <x v="26"/>
    <x v="4"/>
    <s v="Activity: Equipment Purchase"/>
    <n v="16678"/>
    <n v="16533.953917860985"/>
    <s v="Partially Paid"/>
    <s v="PMT-10538"/>
    <s v="Local Partner NGO"/>
    <d v="2026-04-15T23:22:37"/>
  </r>
  <r>
    <s v="EXP-2026-0029"/>
    <s v="ALL-2026-0097"/>
    <s v="PROJ-Nutr-034"/>
    <x v="27"/>
    <x v="3"/>
    <s v="Activity: Field Mission"/>
    <n v="36028"/>
    <n v="32970.070046019551"/>
    <s v="Partially Paid"/>
    <s v="PMT-02658"/>
    <s v="Private Sector Contractor"/>
    <d v="2026-04-15T23:22:37"/>
  </r>
  <r>
    <s v="EXP-2026-0030"/>
    <s v="ALL-2026-0119"/>
    <s v="PROJ-Clim-006"/>
    <x v="24"/>
    <x v="3"/>
    <s v="Activity: Consultancy Days"/>
    <n v="49424"/>
    <n v="37449.408024978635"/>
    <s v="Partially Paid"/>
    <s v="PMT-09624"/>
    <s v="Private Sector Contractor"/>
    <d v="2026-04-15T23:22:37"/>
  </r>
  <r>
    <s v="EXP-2026-0031"/>
    <s v="ALL-2026-0049"/>
    <s v="PROJ-Poli-020"/>
    <x v="28"/>
    <x v="0"/>
    <s v="Activity: Consultancy Days"/>
    <n v="12124"/>
    <n v="10482.923295903205"/>
    <s v="Partially Paid"/>
    <s v="PMT-08812"/>
    <s v="UNOPS"/>
    <d v="2026-04-15T23:22:37"/>
  </r>
  <r>
    <s v="EXP-2026-0032"/>
    <s v="ALL-2026-0018"/>
    <s v="PROJ-Emer-030"/>
    <x v="29"/>
    <x v="2"/>
    <s v="Activity: Training Workshop"/>
    <n v="16730"/>
    <n v="14121.058846354485"/>
    <s v="Partially Paid"/>
    <s v="PMT-09026"/>
    <s v="Local Partner NGO"/>
    <d v="2026-04-15T23:22:37"/>
  </r>
  <r>
    <s v="EXP-2026-0033"/>
    <s v="ALL-2026-0055"/>
    <s v="PROJ-Gend-033"/>
    <x v="30"/>
    <x v="5"/>
    <s v="Activity: Grant Disbursement"/>
    <n v="7800"/>
    <n v="5772.4927461147308"/>
    <s v="Partially Paid"/>
    <s v="PMT-03950"/>
    <s v="UNOPS"/>
    <d v="2026-04-15T23:22:37"/>
  </r>
  <r>
    <s v="EXP-2026-0034"/>
    <s v="ALL-2026-0026"/>
    <s v="PROJ-Gend-039"/>
    <x v="31"/>
    <x v="4"/>
    <s v="Activity: Training Workshop"/>
    <n v="15826"/>
    <n v="14081.79104757309"/>
    <s v="Partially Paid"/>
    <s v="PMT-10350"/>
    <s v="UNDP Country Office"/>
    <d v="2026-04-15T23:22:37"/>
  </r>
  <r>
    <s v="EXP-2026-0035"/>
    <s v="ALL-2026-0047"/>
    <s v="PROJ-Gend-011"/>
    <x v="32"/>
    <x v="5"/>
    <s v="Activity: Consultancy Days"/>
    <n v="31856"/>
    <n v="27455.545298099518"/>
    <s v="Partially Paid"/>
    <s v="PMT-03756"/>
    <s v="Private Sector Contractor"/>
    <d v="2026-04-15T23:22:37"/>
  </r>
  <r>
    <s v="EXP-2026-0036"/>
    <s v="ALL-2026-0029"/>
    <s v="PROJ-Clim-015"/>
    <x v="33"/>
    <x v="4"/>
    <s v="Activity: Equipment Purchase"/>
    <n v="3989"/>
    <n v="0"/>
    <s v="Open"/>
    <s v="PMT-04816"/>
    <s v="UNOPS"/>
    <d v="2026-04-15T23:22:37"/>
  </r>
  <r>
    <s v="EXP-2026-0037"/>
    <s v="ALL-2026-0036"/>
    <s v="PROJ-Emer-010"/>
    <x v="34"/>
    <x v="2"/>
    <s v="Activity: Training Workshop"/>
    <n v="12381"/>
    <n v="10294.485131406784"/>
    <s v="Partially Paid"/>
    <s v="PMT-04795"/>
    <s v="FAO Regional Hub"/>
    <d v="2026-04-15T23:22:37"/>
  </r>
  <r>
    <s v="EXP-2026-0038"/>
    <s v="ALL-2026-0107"/>
    <s v="PROJ-Poli-014"/>
    <x v="35"/>
    <x v="4"/>
    <s v="Activity: Consultancy Days"/>
    <n v="8965"/>
    <n v="7749.6606230437756"/>
    <s v="Partially Paid"/>
    <s v="PMT-06565"/>
    <s v="UNOPS"/>
    <d v="2026-04-15T23:22:37"/>
  </r>
  <r>
    <s v="EXP-2026-0039"/>
    <s v="ALL-2026-0035"/>
    <s v="PROJ-Poli-020"/>
    <x v="36"/>
    <x v="4"/>
    <s v="Activity: Grant Disbursement"/>
    <n v="11215"/>
    <n v="0"/>
    <s v="Open"/>
    <s v="PMT-04267"/>
    <s v="Government Ministry"/>
    <d v="2026-04-15T23:22:37"/>
  </r>
  <r>
    <s v="EXP-2026-0040"/>
    <s v="ALL-2026-0073"/>
    <s v="PROJ-Poli-009"/>
    <x v="37"/>
    <x v="3"/>
    <s v="Activity: Grant Disbursement"/>
    <n v="36633"/>
    <n v="33659.837008237839"/>
    <s v="Partially Paid"/>
    <s v="PMT-07171"/>
    <s v="FAO Regional Hub"/>
    <d v="2026-04-15T23:22:37"/>
  </r>
  <r>
    <s v="EXP-2026-0041"/>
    <s v="ALL-2026-0004"/>
    <s v="PROJ-Clim-030"/>
    <x v="38"/>
    <x v="1"/>
    <s v="Activity: Equipment Purchase"/>
    <n v="49563"/>
    <n v="41900.538615542646"/>
    <s v="Partially Paid"/>
    <s v="PMT-04035"/>
    <s v="UNDP Country Office"/>
    <d v="2026-04-15T23:22:37"/>
  </r>
  <r>
    <s v="EXP-2026-0042"/>
    <s v="ALL-2026-0004"/>
    <s v="PROJ-Gend-013"/>
    <x v="39"/>
    <x v="1"/>
    <s v="Activity: Equipment Purchase"/>
    <n v="10885"/>
    <n v="8964.6121445298195"/>
    <s v="Partially Paid"/>
    <s v="PMT-02566"/>
    <s v="Private Sector Contractor"/>
    <d v="2026-04-15T23:22:37"/>
  </r>
  <r>
    <s v="EXP-2026-0043"/>
    <s v="ALL-2026-0069"/>
    <s v="PROJ-Nutr-009"/>
    <x v="40"/>
    <x v="4"/>
    <s v="Activity: Training Workshop"/>
    <n v="13363"/>
    <n v="0"/>
    <s v="Open"/>
    <s v="PMT-01543"/>
    <s v="Private Sector Contractor"/>
    <d v="2026-04-15T23:22:37"/>
  </r>
  <r>
    <s v="EXP-2026-0044"/>
    <s v="ALL-2026-0057"/>
    <s v="PROJ-Clim-004"/>
    <x v="41"/>
    <x v="1"/>
    <s v="Activity: Grant Disbursement"/>
    <n v="23962"/>
    <n v="16812.520100057125"/>
    <s v="Partially Paid"/>
    <s v="PMT-06478"/>
    <s v="UNOPS"/>
    <d v="2026-04-15T23:22:37"/>
  </r>
  <r>
    <s v="EXP-2026-0045"/>
    <s v="ALL-2026-0091"/>
    <s v="PROJ-Gend-020"/>
    <x v="42"/>
    <x v="5"/>
    <s v="Activity: Field Mission"/>
    <n v="4561"/>
    <n v="0"/>
    <s v="Open"/>
    <s v="PMT-10180"/>
    <s v="Private Sector Contractor"/>
    <d v="2026-04-15T23:22:37"/>
  </r>
  <r>
    <s v="EXP-2026-0046"/>
    <s v="ALL-2026-0004"/>
    <s v="PROJ-Poli-045"/>
    <x v="43"/>
    <x v="5"/>
    <s v="Activity: Consultancy Days"/>
    <n v="24481"/>
    <n v="23700.175738859176"/>
    <s v="Partially Paid"/>
    <s v="PMT-01972"/>
    <s v="Private Sector Contractor"/>
    <d v="2026-04-15T23:22:37"/>
  </r>
  <r>
    <s v="EXP-2026-0047"/>
    <s v="ALL-2026-0104"/>
    <s v="PROJ-Gend-031"/>
    <x v="44"/>
    <x v="5"/>
    <s v="Activity: Field Mission"/>
    <n v="2475"/>
    <n v="2301.7726917564869"/>
    <s v="Partially Paid"/>
    <s v="PMT-04207"/>
    <s v="Local Partner NGO"/>
    <d v="2026-04-15T23:22:37"/>
  </r>
  <r>
    <s v="EXP-2026-0048"/>
    <s v="ALL-2026-0088"/>
    <s v="PROJ-Agri-018"/>
    <x v="45"/>
    <x v="3"/>
    <s v="Activity: Grant Disbursement"/>
    <n v="43806"/>
    <n v="32330.103211569785"/>
    <s v="Partially Paid"/>
    <s v="PMT-04285"/>
    <s v="FAO Regional Hub"/>
    <d v="2026-04-15T23:22:37"/>
  </r>
  <r>
    <s v="EXP-2026-0049"/>
    <s v="ALL-2026-0098"/>
    <s v="PROJ-Clim-030"/>
    <x v="46"/>
    <x v="1"/>
    <s v="Activity: Field Mission"/>
    <n v="19765"/>
    <n v="14737.20887711644"/>
    <s v="Partially Paid"/>
    <s v="PMT-01673"/>
    <s v="UNOPS"/>
    <d v="2026-04-15T23:22:37"/>
  </r>
  <r>
    <s v="EXP-2026-0050"/>
    <s v="ALL-2026-0039"/>
    <s v="PROJ-Agri-003"/>
    <x v="47"/>
    <x v="4"/>
    <s v="Activity: Training Workshop"/>
    <n v="8588"/>
    <n v="7695.2499646186825"/>
    <s v="Partially Paid"/>
    <s v="PMT-06118"/>
    <s v="FAO Regional Hub"/>
    <d v="2026-04-15T23:22:37"/>
  </r>
  <r>
    <s v="EXP-2026-0051"/>
    <s v="ALL-2026-0041"/>
    <s v="PROJ-Gend-030"/>
    <x v="48"/>
    <x v="5"/>
    <s v="Activity: Equipment Purchase"/>
    <n v="10338"/>
    <n v="8120.3981489539137"/>
    <s v="Partially Paid"/>
    <s v="PMT-08363"/>
    <s v="UNDP Country Office"/>
    <d v="2026-04-15T23:22:37"/>
  </r>
  <r>
    <s v="EXP-2026-0052"/>
    <s v="ALL-2026-0023"/>
    <s v="PROJ-Poli-048"/>
    <x v="49"/>
    <x v="1"/>
    <s v="Activity: Training Workshop"/>
    <n v="19764"/>
    <n v="15698.385378599165"/>
    <s v="Partially Paid"/>
    <s v="PMT-02182"/>
    <s v="Government Ministry"/>
    <d v="2026-04-15T23:22:37"/>
  </r>
  <r>
    <s v="EXP-2026-0053"/>
    <s v="ALL-2026-0062"/>
    <s v="PROJ-Emer-011"/>
    <x v="50"/>
    <x v="5"/>
    <s v="Activity: Training Workshop"/>
    <n v="32782"/>
    <n v="23643.119968259332"/>
    <s v="Partially Paid"/>
    <s v="PMT-06727"/>
    <s v="FAO Regional Hub"/>
    <d v="2026-04-15T23:22:37"/>
  </r>
  <r>
    <s v="EXP-2026-0054"/>
    <s v="ALL-2026-0099"/>
    <s v="PROJ-Poli-011"/>
    <x v="51"/>
    <x v="3"/>
    <s v="Activity: Consultancy Days"/>
    <n v="39809"/>
    <n v="29677.130839538571"/>
    <s v="Partially Paid"/>
    <s v="PMT-09248"/>
    <s v="Government Ministry"/>
    <d v="2026-04-15T23:22:37"/>
  </r>
  <r>
    <s v="EXP-2026-0055"/>
    <s v="ALL-2026-0113"/>
    <s v="PROJ-Clim-002"/>
    <x v="22"/>
    <x v="4"/>
    <s v="Activity: Training Workshop"/>
    <n v="47129"/>
    <n v="37225.963850206135"/>
    <s v="Partially Paid"/>
    <s v="PMT-03294"/>
    <s v="Private Sector Contractor"/>
    <d v="2026-04-15T23:22:37"/>
  </r>
  <r>
    <s v="EXP-2026-0056"/>
    <s v="ALL-2026-0065"/>
    <s v="PROJ-Gend-017"/>
    <x v="52"/>
    <x v="3"/>
    <s v="Activity: Training Workshop"/>
    <n v="7165"/>
    <n v="0"/>
    <s v="Open"/>
    <s v="PMT-01069"/>
    <s v="FAO Regional Hub"/>
    <d v="2026-04-15T23:22:37"/>
  </r>
  <r>
    <s v="EXP-2026-0057"/>
    <s v="ALL-2026-0049"/>
    <s v="PROJ-Agri-028"/>
    <x v="53"/>
    <x v="0"/>
    <s v="Activity: Equipment Purchase"/>
    <n v="39973"/>
    <n v="39758.202154350278"/>
    <s v="Partially Paid"/>
    <s v="PMT-07322"/>
    <s v="FAO Regional Hub"/>
    <d v="2026-04-15T23:22:37"/>
  </r>
  <r>
    <s v="EXP-2026-0058"/>
    <s v="ALL-2026-0070"/>
    <s v="PROJ-Clim-013"/>
    <x v="54"/>
    <x v="5"/>
    <s v="Activity: Equipment Purchase"/>
    <n v="23540"/>
    <n v="16883.045966982841"/>
    <s v="Partially Paid"/>
    <s v="PMT-05502"/>
    <s v="Government Ministry"/>
    <d v="2026-04-15T23:22:37"/>
  </r>
  <r>
    <s v="EXP-2026-0059"/>
    <s v="ALL-2026-0051"/>
    <s v="PROJ-Gend-016"/>
    <x v="55"/>
    <x v="2"/>
    <s v="Activity: Field Mission"/>
    <n v="17147"/>
    <n v="0"/>
    <s v="Open"/>
    <s v="PMT-09231"/>
    <s v="FAO Regional Hub"/>
    <d v="2026-04-15T23:22:37"/>
  </r>
  <r>
    <s v="EXP-2026-0060"/>
    <s v="ALL-2026-0112"/>
    <s v="PROJ-Poli-041"/>
    <x v="56"/>
    <x v="1"/>
    <s v="Activity: Equipment Purchase"/>
    <n v="31508"/>
    <n v="29230.754203796387"/>
    <s v="Partially Paid"/>
    <s v="PMT-09500"/>
    <s v="UNDP Country Office"/>
    <d v="2026-04-15T23:22:37"/>
  </r>
  <r>
    <s v="EXP-2026-0061"/>
    <s v="ALL-2026-0051"/>
    <s v="PROJ-Emer-036"/>
    <x v="57"/>
    <x v="4"/>
    <s v="Activity: Grant Disbursement"/>
    <n v="31798"/>
    <n v="22714.564030611513"/>
    <s v="Partially Paid"/>
    <s v="PMT-03230"/>
    <s v="UNOPS"/>
    <d v="2026-04-15T23:22:37"/>
  </r>
  <r>
    <s v="EXP-2026-0062"/>
    <s v="ALL-2026-0093"/>
    <s v="PROJ-Nutr-001"/>
    <x v="58"/>
    <x v="1"/>
    <s v="Activity: Training Workshop"/>
    <n v="11369"/>
    <n v="8990.9755921959877"/>
    <s v="Partially Paid"/>
    <s v="PMT-06284"/>
    <s v="UNOPS"/>
    <d v="2026-04-15T23:22:37"/>
  </r>
  <r>
    <s v="EXP-2026-0063"/>
    <s v="ALL-2026-0027"/>
    <s v="PROJ-Poli-034"/>
    <x v="59"/>
    <x v="4"/>
    <s v="Activity: Equipment Purchase"/>
    <n v="12317"/>
    <n v="0"/>
    <s v="Open"/>
    <s v="PMT-09845"/>
    <s v="Government Ministry"/>
    <d v="2026-04-15T23:22:37"/>
  </r>
  <r>
    <s v="EXP-2026-0064"/>
    <s v="ALL-2026-0014"/>
    <s v="PROJ-Clim-017"/>
    <x v="60"/>
    <x v="2"/>
    <s v="Activity: Field Mission"/>
    <n v="42218"/>
    <n v="41295.405016362667"/>
    <s v="Partially Paid"/>
    <s v="PMT-06791"/>
    <s v="UNOPS"/>
    <d v="2026-04-15T23:22:37"/>
  </r>
  <r>
    <s v="EXP-2026-0065"/>
    <s v="ALL-2026-0104"/>
    <s v="PROJ-Clim-048"/>
    <x v="25"/>
    <x v="1"/>
    <s v="Activity: Training Workshop"/>
    <n v="41395"/>
    <n v="0"/>
    <s v="Open"/>
    <s v="PMT-08268"/>
    <s v="FAO Regional Hub"/>
    <d v="2026-04-15T23:22:37"/>
  </r>
  <r>
    <s v="EXP-2026-0066"/>
    <s v="ALL-2026-0110"/>
    <s v="PROJ-Emer-018"/>
    <x v="61"/>
    <x v="4"/>
    <s v="Activity: Field Mission"/>
    <n v="44936"/>
    <n v="0"/>
    <s v="Open"/>
    <s v="PMT-03776"/>
    <s v="UNDP Country Office"/>
    <d v="2026-04-15T23:22:37"/>
  </r>
  <r>
    <s v="EXP-2026-0067"/>
    <s v="ALL-2026-0071"/>
    <s v="PROJ-Clim-021"/>
    <x v="45"/>
    <x v="4"/>
    <s v="Activity: Grant Disbursement"/>
    <n v="43923"/>
    <n v="41591.669852364059"/>
    <s v="Partially Paid"/>
    <s v="PMT-04516"/>
    <s v="Government Ministry"/>
    <d v="2026-04-15T23:22:37"/>
  </r>
  <r>
    <s v="EXP-2026-0068"/>
    <s v="ALL-2026-0035"/>
    <s v="PROJ-Emer-014"/>
    <x v="62"/>
    <x v="4"/>
    <s v="Activity: Training Workshop"/>
    <n v="48694"/>
    <n v="0"/>
    <s v="Open"/>
    <s v="PMT-08356"/>
    <s v="Local Partner NGO"/>
    <d v="2026-04-15T23:22:37"/>
  </r>
  <r>
    <s v="EXP-2026-0069"/>
    <s v="ALL-2026-0060"/>
    <s v="PROJ-Nutr-020"/>
    <x v="63"/>
    <x v="3"/>
    <s v="Activity: Equipment Purchase"/>
    <n v="4063"/>
    <n v="2909.8914909183977"/>
    <s v="Partially Paid"/>
    <s v="PMT-01817"/>
    <s v="UNDP Country Office"/>
    <d v="2026-04-15T23:22:37"/>
  </r>
  <r>
    <s v="EXP-2026-0070"/>
    <s v="ALL-2026-0005"/>
    <s v="PROJ-Gend-014"/>
    <x v="64"/>
    <x v="0"/>
    <s v="Activity: Field Mission"/>
    <n v="12219"/>
    <n v="10197.044091045856"/>
    <s v="Partially Paid"/>
    <s v="PMT-10775"/>
    <s v="UNDP Country Office"/>
    <d v="2026-04-15T23:22:37"/>
  </r>
  <r>
    <s v="EXP-2026-0071"/>
    <s v="ALL-2026-0116"/>
    <s v="PROJ-Nutr-031"/>
    <x v="65"/>
    <x v="3"/>
    <s v="Activity: Grant Disbursement"/>
    <n v="14198"/>
    <n v="0"/>
    <s v="Open"/>
    <s v="PMT-02865"/>
    <s v="Government Ministry"/>
    <d v="2026-04-15T23:22:37"/>
  </r>
  <r>
    <s v="EXP-2026-0072"/>
    <s v="ALL-2026-0060"/>
    <s v="PROJ-Agri-043"/>
    <x v="66"/>
    <x v="2"/>
    <s v="Activity: Consultancy Days"/>
    <n v="31055"/>
    <n v="26200.145338326693"/>
    <s v="Partially Paid"/>
    <s v="PMT-10572"/>
    <s v="UNOPS"/>
    <d v="2026-04-15T23:22:37"/>
  </r>
  <r>
    <s v="EXP-2026-0073"/>
    <s v="ALL-2026-0075"/>
    <s v="PROJ-Emer-047"/>
    <x v="67"/>
    <x v="5"/>
    <s v="Activity: Grant Disbursement"/>
    <n v="46982"/>
    <n v="40468.335503602022"/>
    <s v="Partially Paid"/>
    <s v="PMT-05611"/>
    <s v="Local Partner NGO"/>
    <d v="2026-04-15T23:22:37"/>
  </r>
  <r>
    <s v="EXP-2026-0074"/>
    <s v="ALL-2026-0102"/>
    <s v="PROJ-Nutr-021"/>
    <x v="68"/>
    <x v="0"/>
    <s v="Activity: Equipment Purchase"/>
    <n v="37038"/>
    <n v="0"/>
    <s v="Open"/>
    <s v="PMT-05580"/>
    <s v="Local Partner NGO"/>
    <d v="2026-04-15T23:22:37"/>
  </r>
  <r>
    <s v="EXP-2026-0075"/>
    <s v="ALL-2026-0046"/>
    <s v="PROJ-Clim-040"/>
    <x v="69"/>
    <x v="1"/>
    <s v="Activity: Training Workshop"/>
    <n v="41652"/>
    <n v="0"/>
    <s v="Open"/>
    <s v="PMT-05528"/>
    <s v="Local Partner NGO"/>
    <d v="2026-04-15T23:22:37"/>
  </r>
  <r>
    <s v="EXP-2026-0076"/>
    <s v="ALL-2026-0038"/>
    <s v="PROJ-Agri-025"/>
    <x v="70"/>
    <x v="4"/>
    <s v="Activity: Training Workshop"/>
    <n v="3426"/>
    <n v="2619.2013551831242"/>
    <s v="Partially Paid"/>
    <s v="PMT-09725"/>
    <s v="Local Partner NGO"/>
    <d v="2026-04-15T23:22:37"/>
  </r>
  <r>
    <s v="EXP-2026-0077"/>
    <s v="ALL-2026-0056"/>
    <s v="PROJ-Emer-020"/>
    <x v="71"/>
    <x v="1"/>
    <s v="Activity: Consultancy Days"/>
    <n v="4824"/>
    <n v="4817.622637367248"/>
    <s v="Partially Paid"/>
    <s v="PMT-05562"/>
    <s v="Local Partner NGO"/>
    <d v="2026-04-15T23:22:37"/>
  </r>
  <r>
    <s v="EXP-2026-0078"/>
    <s v="ALL-2026-0037"/>
    <s v="PROJ-Gend-030"/>
    <x v="63"/>
    <x v="3"/>
    <s v="Activity: Consultancy Days"/>
    <n v="31169"/>
    <n v="23054.518856829403"/>
    <s v="Partially Paid"/>
    <s v="PMT-01482"/>
    <s v="Government Ministry"/>
    <d v="2026-04-15T23:22:37"/>
  </r>
  <r>
    <s v="EXP-2026-0079"/>
    <s v="ALL-2026-0043"/>
    <s v="PROJ-Clim-038"/>
    <x v="72"/>
    <x v="4"/>
    <s v="Activity: Grant Disbursement"/>
    <n v="22161"/>
    <n v="17069.019372403622"/>
    <s v="Partially Paid"/>
    <s v="PMT-07263"/>
    <s v="FAO Regional Hub"/>
    <d v="2026-04-15T23:22:37"/>
  </r>
  <r>
    <s v="EXP-2026-0080"/>
    <s v="ALL-2026-0109"/>
    <s v="PROJ-Nutr-004"/>
    <x v="73"/>
    <x v="0"/>
    <s v="Activity: Training Workshop"/>
    <n v="35979"/>
    <n v="26131.293187183139"/>
    <s v="Partially Paid"/>
    <s v="PMT-09599"/>
    <s v="Local Partner NGO"/>
    <d v="2026-04-15T23:22:37"/>
  </r>
  <r>
    <s v="EXP-2026-0081"/>
    <s v="ALL-2026-0059"/>
    <s v="PROJ-Poli-048"/>
    <x v="74"/>
    <x v="2"/>
    <s v="Activity: Grant Disbursement"/>
    <n v="11849"/>
    <n v="9453.0448186874382"/>
    <s v="Partially Paid"/>
    <s v="PMT-10911"/>
    <s v="UNDP Country Office"/>
    <d v="2026-04-15T23:22:37"/>
  </r>
  <r>
    <s v="EXP-2026-0082"/>
    <s v="ALL-2026-0102"/>
    <s v="PROJ-Emer-045"/>
    <x v="75"/>
    <x v="4"/>
    <s v="Activity: Field Mission"/>
    <n v="37606"/>
    <n v="33325.034655249117"/>
    <s v="Partially Paid"/>
    <s v="PMT-08137"/>
    <s v="UNOPS"/>
    <d v="2026-04-15T23:22:37"/>
  </r>
  <r>
    <s v="EXP-2026-0083"/>
    <s v="ALL-2026-0114"/>
    <s v="PROJ-Clim-024"/>
    <x v="2"/>
    <x v="1"/>
    <s v="Activity: Equipment Purchase"/>
    <n v="10916"/>
    <n v="0"/>
    <s v="Open"/>
    <s v="PMT-09578"/>
    <s v="UNOPS"/>
    <d v="2026-04-15T23:22:37"/>
  </r>
  <r>
    <s v="EXP-2026-0084"/>
    <s v="ALL-2026-0078"/>
    <s v="PROJ-Nutr-048"/>
    <x v="76"/>
    <x v="1"/>
    <s v="Activity: Equipment Purchase"/>
    <n v="40591"/>
    <n v="0"/>
    <s v="Open"/>
    <s v="PMT-09001"/>
    <s v="UNDP Country Office"/>
    <d v="2026-04-15T23:22:37"/>
  </r>
  <r>
    <s v="EXP-2026-0085"/>
    <s v="ALL-2026-0005"/>
    <s v="PROJ-Emer-006"/>
    <x v="77"/>
    <x v="1"/>
    <s v="Activity: Consultancy Days"/>
    <n v="31959"/>
    <n v="23922.302096235751"/>
    <s v="Partially Paid"/>
    <s v="PMT-01973"/>
    <s v="UNDP Country Office"/>
    <d v="2026-04-15T23:22:37"/>
  </r>
  <r>
    <s v="EXP-2026-0086"/>
    <s v="ALL-2026-0086"/>
    <s v="PROJ-Agri-024"/>
    <x v="26"/>
    <x v="1"/>
    <s v="Activity: Field Mission"/>
    <n v="8015"/>
    <n v="7713.1543616950512"/>
    <s v="Partially Paid"/>
    <s v="PMT-08690"/>
    <s v="UNOPS"/>
    <d v="2026-04-15T23:22:37"/>
  </r>
  <r>
    <s v="EXP-2026-0087"/>
    <s v="ALL-2026-0063"/>
    <s v="PROJ-Clim-046"/>
    <x v="78"/>
    <x v="3"/>
    <s v="Activity: Equipment Purchase"/>
    <n v="37264"/>
    <n v="26110.280545043945"/>
    <s v="Partially Paid"/>
    <s v="PMT-04100"/>
    <s v="UNDP Country Office"/>
    <d v="2026-04-15T23:22:37"/>
  </r>
  <r>
    <s v="EXP-2026-0088"/>
    <s v="ALL-2026-0117"/>
    <s v="PROJ-Clim-018"/>
    <x v="79"/>
    <x v="4"/>
    <s v="Activity: Grant Disbursement"/>
    <n v="40854"/>
    <n v="0"/>
    <s v="Open"/>
    <s v="PMT-08129"/>
    <s v="FAO Regional Hub"/>
    <d v="2026-04-15T23:22:37"/>
  </r>
  <r>
    <s v="EXP-2026-0089"/>
    <s v="ALL-2026-0035"/>
    <s v="PROJ-Nutr-049"/>
    <x v="80"/>
    <x v="5"/>
    <s v="Activity: Grant Disbursement"/>
    <n v="9725"/>
    <n v="0"/>
    <s v="Open"/>
    <s v="PMT-09423"/>
    <s v="UNOPS"/>
    <d v="2026-04-15T23:22:37"/>
  </r>
  <r>
    <s v="EXP-2026-0090"/>
    <s v="ALL-2026-0066"/>
    <s v="PROJ-Gend-033"/>
    <x v="81"/>
    <x v="0"/>
    <s v="Activity: Training Workshop"/>
    <n v="34668"/>
    <n v="0"/>
    <s v="Open"/>
    <s v="PMT-01276"/>
    <s v="Local Partner NGO"/>
    <d v="2026-04-15T23:22:37"/>
  </r>
  <r>
    <s v="EXP-2026-0091"/>
    <s v="ALL-2026-0118"/>
    <s v="PROJ-Emer-042"/>
    <x v="7"/>
    <x v="5"/>
    <s v="Activity: Field Mission"/>
    <n v="8134"/>
    <n v="7342.503241384029"/>
    <s v="Partially Paid"/>
    <s v="PMT-06708"/>
    <s v="UNDP Country Office"/>
    <d v="2026-04-15T23:22:37"/>
  </r>
  <r>
    <s v="EXP-2026-0092"/>
    <s v="ALL-2026-0023"/>
    <s v="PROJ-Gend-045"/>
    <x v="82"/>
    <x v="5"/>
    <s v="Activity: Consultancy Days"/>
    <n v="13323"/>
    <n v="0"/>
    <s v="Open"/>
    <s v="PMT-06915"/>
    <s v="UNDP Country Office"/>
    <d v="2026-04-15T23:22:37"/>
  </r>
  <r>
    <s v="EXP-2026-0093"/>
    <s v="ALL-2026-0055"/>
    <s v="PROJ-Agri-029"/>
    <x v="83"/>
    <x v="0"/>
    <s v="Activity: Grant Disbursement"/>
    <n v="13242"/>
    <n v="12420.363618779182"/>
    <s v="Partially Paid"/>
    <s v="PMT-06773"/>
    <s v="Private Sector Contractor"/>
    <d v="2026-04-15T23:22:37"/>
  </r>
  <r>
    <s v="EXP-2026-0094"/>
    <s v="ALL-2026-0063"/>
    <s v="PROJ-Nutr-007"/>
    <x v="84"/>
    <x v="5"/>
    <s v="Activity: Consultancy Days"/>
    <n v="17921"/>
    <n v="16092.547980695961"/>
    <s v="Partially Paid"/>
    <s v="PMT-08840"/>
    <s v="UNOPS"/>
    <d v="2026-04-15T23:22:37"/>
  </r>
  <r>
    <s v="EXP-2026-0095"/>
    <s v="ALL-2026-0012"/>
    <s v="PROJ-Clim-048"/>
    <x v="20"/>
    <x v="2"/>
    <s v="Activity: Grant Disbursement"/>
    <n v="4248"/>
    <n v="0"/>
    <s v="Open"/>
    <s v="PMT-01715"/>
    <s v="Local Partner NGO"/>
    <d v="2026-04-15T23:22:37"/>
  </r>
  <r>
    <s v="EXP-2026-0096"/>
    <s v="ALL-2026-0096"/>
    <s v="PROJ-Nutr-040"/>
    <x v="29"/>
    <x v="2"/>
    <s v="Activity: Field Mission"/>
    <n v="44088"/>
    <n v="0"/>
    <s v="Open"/>
    <s v="PMT-05900"/>
    <s v="Private Sector Contractor"/>
    <d v="2026-04-15T23:22:37"/>
  </r>
  <r>
    <s v="EXP-2026-0097"/>
    <s v="ALL-2026-0035"/>
    <s v="PROJ-Nutr-013"/>
    <x v="85"/>
    <x v="4"/>
    <s v="Activity: Training Workshop"/>
    <n v="13127"/>
    <n v="0"/>
    <s v="Open"/>
    <s v="PMT-01882"/>
    <s v="UNDP Country Office"/>
    <d v="2026-04-15T23:22:37"/>
  </r>
  <r>
    <s v="EXP-2026-0098"/>
    <s v="ALL-2026-0086"/>
    <s v="PROJ-Emer-047"/>
    <x v="86"/>
    <x v="0"/>
    <s v="Activity: Equipment Purchase"/>
    <n v="17469"/>
    <n v="13108.277076566219"/>
    <s v="Partially Paid"/>
    <s v="PMT-05074"/>
    <s v="Government Ministry"/>
    <d v="2026-04-15T23:22:37"/>
  </r>
  <r>
    <s v="EXP-2026-0099"/>
    <s v="ALL-2026-0111"/>
    <s v="PROJ-Clim-004"/>
    <x v="87"/>
    <x v="1"/>
    <s v="Activity: Field Mission"/>
    <n v="27511"/>
    <n v="23012.800830143689"/>
    <s v="Partially Paid"/>
    <s v="PMT-07705"/>
    <s v="Private Sector Contractor"/>
    <d v="2026-04-15T23:22:37"/>
  </r>
  <r>
    <s v="EXP-2026-0100"/>
    <s v="ALL-2026-0086"/>
    <s v="PROJ-Emer-015"/>
    <x v="88"/>
    <x v="1"/>
    <s v="Activity: Training Workshop"/>
    <n v="44460"/>
    <n v="39843.446671485901"/>
    <s v="Partially Paid"/>
    <s v="PMT-06705"/>
    <s v="UNDP Country Office"/>
    <d v="2026-04-15T23:22:37"/>
  </r>
  <r>
    <s v="EXP-2026-0101"/>
    <s v="ALL-2026-0083"/>
    <s v="PROJ-Poli-012"/>
    <x v="89"/>
    <x v="2"/>
    <s v="Activity: Consultancy Days"/>
    <n v="25415"/>
    <n v="23250.542887359858"/>
    <s v="Partially Paid"/>
    <s v="PMT-03420"/>
    <s v="Local Partner NGO"/>
    <d v="2026-04-15T23:22:37"/>
  </r>
  <r>
    <s v="EXP-2026-0102"/>
    <s v="ALL-2026-0105"/>
    <s v="PROJ-Emer-016"/>
    <x v="90"/>
    <x v="1"/>
    <s v="Activity: Field Mission"/>
    <n v="23738"/>
    <n v="21003.780103230474"/>
    <s v="Partially Paid"/>
    <s v="PMT-08082"/>
    <s v="Government Ministry"/>
    <d v="2026-04-15T23:22:37"/>
  </r>
  <r>
    <s v="EXP-2026-0103"/>
    <s v="ALL-2026-0060"/>
    <s v="PROJ-Clim-001"/>
    <x v="54"/>
    <x v="3"/>
    <s v="Activity: Grant Disbursement"/>
    <n v="45596"/>
    <n v="36150.376576399802"/>
    <s v="Partially Paid"/>
    <s v="PMT-09333"/>
    <s v="UNOPS"/>
    <d v="2026-04-15T23:22:37"/>
  </r>
  <r>
    <s v="EXP-2026-0104"/>
    <s v="ALL-2026-0061"/>
    <s v="PROJ-Agri-016"/>
    <x v="91"/>
    <x v="5"/>
    <s v="Activity: Grant Disbursement"/>
    <n v="18602"/>
    <n v="18575.034377050401"/>
    <s v="Partially Paid"/>
    <s v="PMT-07782"/>
    <s v="UNDP Country Office"/>
    <d v="2026-04-15T23:22:37"/>
  </r>
  <r>
    <s v="EXP-2026-0105"/>
    <s v="ALL-2026-0034"/>
    <s v="PROJ-Gend-005"/>
    <x v="92"/>
    <x v="2"/>
    <s v="Activity: Equipment Purchase"/>
    <n v="14707"/>
    <n v="13678.089804416893"/>
    <s v="Partially Paid"/>
    <s v="PMT-03479"/>
    <s v="Government Ministry"/>
    <d v="2026-04-15T23:22:37"/>
  </r>
  <r>
    <s v="EXP-2026-0106"/>
    <s v="ALL-2026-0002"/>
    <s v="PROJ-Nutr-023"/>
    <x v="48"/>
    <x v="1"/>
    <s v="Activity: Field Mission"/>
    <n v="13096"/>
    <n v="11487.733395290374"/>
    <s v="Partially Paid"/>
    <s v="PMT-01743"/>
    <s v="FAO Regional Hub"/>
    <d v="2026-04-15T23:22:37"/>
  </r>
  <r>
    <s v="EXP-2026-0107"/>
    <s v="ALL-2026-0031"/>
    <s v="PROJ-Nutr-003"/>
    <x v="93"/>
    <x v="4"/>
    <s v="Activity: Grant Disbursement"/>
    <n v="6864"/>
    <n v="6428.2362015724175"/>
    <s v="Partially Paid"/>
    <s v="PMT-04456"/>
    <s v="FAO Regional Hub"/>
    <d v="2026-04-15T23:22:37"/>
  </r>
  <r>
    <s v="EXP-2026-0108"/>
    <s v="ALL-2026-0054"/>
    <s v="PROJ-Emer-039"/>
    <x v="94"/>
    <x v="5"/>
    <s v="Activity: Consultancy Days"/>
    <n v="47330"/>
    <n v="0"/>
    <s v="Open"/>
    <s v="PMT-05194"/>
    <s v="Government Ministry"/>
    <d v="2026-04-15T23:22:37"/>
  </r>
  <r>
    <s v="EXP-2026-0109"/>
    <s v="ALL-2026-0032"/>
    <s v="PROJ-Poli-004"/>
    <x v="95"/>
    <x v="2"/>
    <s v="Activity: Consultancy Days"/>
    <n v="17342"/>
    <n v="13111.931014943122"/>
    <s v="Partially Paid"/>
    <s v="PMT-01374"/>
    <s v="UNDP Country Office"/>
    <d v="2026-04-15T23:22:37"/>
  </r>
  <r>
    <s v="EXP-2026-0110"/>
    <s v="ALL-2026-0055"/>
    <s v="PROJ-Gend-035"/>
    <x v="68"/>
    <x v="4"/>
    <s v="Activity: Training Workshop"/>
    <n v="27117"/>
    <n v="23814.353391176461"/>
    <s v="Partially Paid"/>
    <s v="PMT-07884"/>
    <s v="UNOPS"/>
    <d v="2026-04-15T23:22:37"/>
  </r>
  <r>
    <s v="EXP-2026-0111"/>
    <s v="ALL-2026-0025"/>
    <s v="PROJ-Agri-036"/>
    <x v="96"/>
    <x v="3"/>
    <s v="Activity: Consultancy Days"/>
    <n v="43711"/>
    <n v="38056.844819450373"/>
    <s v="Partially Paid"/>
    <s v="PMT-01010"/>
    <s v="Private Sector Contractor"/>
    <d v="2026-04-15T23:22:37"/>
  </r>
  <r>
    <s v="EXP-2026-0112"/>
    <s v="ALL-2026-0027"/>
    <s v="PROJ-Emer-045"/>
    <x v="97"/>
    <x v="1"/>
    <s v="Activity: Consultancy Days"/>
    <n v="27772"/>
    <n v="22685.283761811253"/>
    <s v="Partially Paid"/>
    <s v="PMT-01984"/>
    <s v="Government Ministry"/>
    <d v="2026-04-15T23:22:37"/>
  </r>
  <r>
    <s v="EXP-2026-0113"/>
    <s v="ALL-2026-0103"/>
    <s v="PROJ-Poli-033"/>
    <x v="37"/>
    <x v="3"/>
    <s v="Activity: Consultancy Days"/>
    <n v="16042"/>
    <n v="0"/>
    <s v="Open"/>
    <s v="PMT-05759"/>
    <s v="Government Ministry"/>
    <d v="2026-04-15T23:22:37"/>
  </r>
  <r>
    <s v="EXP-2026-0114"/>
    <s v="ALL-2026-0057"/>
    <s v="PROJ-Agri-033"/>
    <x v="44"/>
    <x v="0"/>
    <s v="Activity: Training Workshop"/>
    <n v="34586"/>
    <n v="0"/>
    <s v="Open"/>
    <s v="PMT-03271"/>
    <s v="UNDP Country Office"/>
    <d v="2026-04-15T23:22:37"/>
  </r>
  <r>
    <s v="EXP-2026-0115"/>
    <s v="ALL-2026-0054"/>
    <s v="PROJ-Poli-048"/>
    <x v="98"/>
    <x v="2"/>
    <s v="Activity: Training Workshop"/>
    <n v="37735"/>
    <n v="26661.688170492649"/>
    <s v="Partially Paid"/>
    <s v="PMT-08865"/>
    <s v="UNDP Country Office"/>
    <d v="2026-04-15T23:22:37"/>
  </r>
  <r>
    <s v="EXP-2026-0116"/>
    <s v="ALL-2026-0093"/>
    <s v="PROJ-Poli-032"/>
    <x v="54"/>
    <x v="3"/>
    <s v="Activity: Equipment Purchase"/>
    <n v="2131"/>
    <n v="2077.9260559976101"/>
    <s v="Partially Paid"/>
    <s v="PMT-10891"/>
    <s v="FAO Regional Hub"/>
    <d v="2026-04-15T23:22:37"/>
  </r>
  <r>
    <s v="EXP-2026-0117"/>
    <s v="ALL-2026-0092"/>
    <s v="PROJ-Clim-020"/>
    <x v="99"/>
    <x v="3"/>
    <s v="Activity: Grant Disbursement"/>
    <n v="34018"/>
    <n v="0"/>
    <s v="Open"/>
    <s v="PMT-10256"/>
    <s v="FAO Regional Hub"/>
    <d v="2026-04-15T23:22:37"/>
  </r>
  <r>
    <s v="EXP-2026-0118"/>
    <s v="ALL-2026-0114"/>
    <s v="PROJ-Emer-014"/>
    <x v="100"/>
    <x v="5"/>
    <s v="Activity: Training Workshop"/>
    <n v="7008"/>
    <n v="0"/>
    <s v="Open"/>
    <s v="PMT-09228"/>
    <s v="UNOPS"/>
    <d v="2026-04-15T23:22:37"/>
  </r>
  <r>
    <s v="EXP-2026-0119"/>
    <s v="ALL-2026-0042"/>
    <s v="PROJ-Poli-021"/>
    <x v="101"/>
    <x v="3"/>
    <s v="Activity: Consultancy Days"/>
    <n v="24867"/>
    <n v="22547.893447995186"/>
    <s v="Partially Paid"/>
    <s v="PMT-03467"/>
    <s v="Government Ministry"/>
    <d v="2026-04-15T23:22:37"/>
  </r>
  <r>
    <s v="EXP-2026-0120"/>
    <s v="ALL-2026-0013"/>
    <s v="PROJ-Gend-043"/>
    <x v="102"/>
    <x v="1"/>
    <s v="Activity: Field Mission"/>
    <n v="45833"/>
    <n v="0"/>
    <s v="Open"/>
    <s v="PMT-03014"/>
    <s v="FAO Regional Hub"/>
    <d v="2026-04-15T23:22:37"/>
  </r>
  <r>
    <s v="EXP-2026-0121"/>
    <s v="ALL-2026-0002"/>
    <s v="PROJ-Agri-025"/>
    <x v="103"/>
    <x v="2"/>
    <s v="Activity: Grant Disbursement"/>
    <n v="46492"/>
    <n v="36820.698058485985"/>
    <s v="Partially Paid"/>
    <s v="PMT-06881"/>
    <s v="Local Partner NGO"/>
    <d v="2026-04-15T23:22:37"/>
  </r>
  <r>
    <s v="EXP-2026-0122"/>
    <s v="ALL-2026-0087"/>
    <s v="PROJ-Clim-009"/>
    <x v="11"/>
    <x v="1"/>
    <s v="Activity: Field Mission"/>
    <n v="50033"/>
    <n v="47516.862476325034"/>
    <s v="Partially Paid"/>
    <s v="PMT-09970"/>
    <s v="FAO Regional Hub"/>
    <d v="2026-04-15T23:22:37"/>
  </r>
  <r>
    <s v="EXP-2026-0123"/>
    <s v="ALL-2026-0048"/>
    <s v="PROJ-Gend-025"/>
    <x v="84"/>
    <x v="5"/>
    <s v="Activity: Training Workshop"/>
    <n v="6626"/>
    <n v="0"/>
    <s v="Open"/>
    <s v="PMT-03105"/>
    <s v="Government Ministry"/>
    <d v="2026-04-15T23:22:37"/>
  </r>
  <r>
    <s v="EXP-2026-0124"/>
    <s v="ALL-2026-0084"/>
    <s v="PROJ-Gend-050"/>
    <x v="104"/>
    <x v="4"/>
    <s v="Activity: Training Workshop"/>
    <n v="36283"/>
    <n v="32927.607493370771"/>
    <s v="Partially Paid"/>
    <s v="PMT-01987"/>
    <s v="Private Sector Contractor"/>
    <d v="2026-04-15T23:22:37"/>
  </r>
  <r>
    <s v="EXP-2026-0125"/>
    <s v="ALL-2026-0038"/>
    <s v="PROJ-Gend-017"/>
    <x v="105"/>
    <x v="5"/>
    <s v="Activity: Consultancy Days"/>
    <n v="40983"/>
    <n v="32581.510600304602"/>
    <s v="Partially Paid"/>
    <s v="PMT-08742"/>
    <s v="Private Sector Contractor"/>
    <d v="2026-04-15T23:22:37"/>
  </r>
  <r>
    <s v="EXP-2026-0126"/>
    <s v="ALL-2026-0028"/>
    <s v="PROJ-Agri-025"/>
    <x v="106"/>
    <x v="4"/>
    <s v="Activity: Equipment Purchase"/>
    <n v="21337"/>
    <n v="17656.900199574233"/>
    <s v="Partially Paid"/>
    <s v="PMT-06758"/>
    <s v="Private Sector Contractor"/>
    <d v="2026-04-15T23:22:37"/>
  </r>
  <r>
    <s v="EXP-2026-0127"/>
    <s v="ALL-2026-0050"/>
    <s v="PROJ-Agri-006"/>
    <x v="107"/>
    <x v="0"/>
    <s v="Activity: Consultancy Days"/>
    <n v="19880"/>
    <n v="14726.977670192717"/>
    <s v="Partially Paid"/>
    <s v="PMT-10519"/>
    <s v="UNDP Country Office"/>
    <d v="2026-04-15T23:22:37"/>
  </r>
  <r>
    <s v="EXP-2026-0128"/>
    <s v="ALL-2026-0048"/>
    <s v="PROJ-Agri-029"/>
    <x v="108"/>
    <x v="0"/>
    <s v="Activity: Consultancy Days"/>
    <n v="8948"/>
    <n v="0"/>
    <s v="Open"/>
    <s v="PMT-08844"/>
    <s v="UNOPS"/>
    <d v="2026-04-15T23:22:37"/>
  </r>
  <r>
    <s v="EXP-2026-0129"/>
    <s v="ALL-2026-0092"/>
    <s v="PROJ-Emer-013"/>
    <x v="109"/>
    <x v="5"/>
    <s v="Activity: Consultancy Days"/>
    <n v="35280"/>
    <n v="24707.931371212006"/>
    <s v="Partially Paid"/>
    <s v="PMT-08480"/>
    <s v="Government Ministry"/>
    <d v="2026-04-15T23:22:37"/>
  </r>
  <r>
    <s v="EXP-2026-0130"/>
    <s v="ALL-2026-0021"/>
    <s v="PROJ-Gend-040"/>
    <x v="14"/>
    <x v="0"/>
    <s v="Activity: Grant Disbursement"/>
    <n v="14397"/>
    <n v="12155.572739875315"/>
    <s v="Partially Paid"/>
    <s v="PMT-05187"/>
    <s v="FAO Regional Hub"/>
    <d v="2026-04-15T23:22:37"/>
  </r>
  <r>
    <s v="EXP-2026-0131"/>
    <s v="ALL-2026-0077"/>
    <s v="PROJ-Emer-001"/>
    <x v="110"/>
    <x v="1"/>
    <s v="Activity: Equipment Purchase"/>
    <n v="5556"/>
    <n v="5279.4988559961312"/>
    <s v="Partially Paid"/>
    <s v="PMT-03866"/>
    <s v="UNDP Country Office"/>
    <d v="2026-04-15T23:22:37"/>
  </r>
  <r>
    <s v="EXP-2026-0132"/>
    <s v="ALL-2026-0039"/>
    <s v="PROJ-Clim-015"/>
    <x v="111"/>
    <x v="1"/>
    <s v="Activity: Grant Disbursement"/>
    <n v="1725"/>
    <n v="0"/>
    <s v="Open"/>
    <s v="PMT-07168"/>
    <s v="Local Partner NGO"/>
    <d v="2026-04-15T23:22:37"/>
  </r>
  <r>
    <s v="EXP-2026-0133"/>
    <s v="ALL-2026-0084"/>
    <s v="PROJ-Emer-045"/>
    <x v="103"/>
    <x v="5"/>
    <s v="Activity: Equipment Purchase"/>
    <n v="6631"/>
    <n v="6462.344107306003"/>
    <s v="Partially Paid"/>
    <s v="PMT-09681"/>
    <s v="Government Ministry"/>
    <d v="2026-04-15T23:22:37"/>
  </r>
  <r>
    <s v="EXP-2026-0134"/>
    <s v="ALL-2026-0026"/>
    <s v="PROJ-Poli-003"/>
    <x v="65"/>
    <x v="4"/>
    <s v="Activity: Grant Disbursement"/>
    <n v="15750"/>
    <n v="0"/>
    <s v="Open"/>
    <s v="PMT-09291"/>
    <s v="UNDP Country Office"/>
    <d v="2026-04-15T23:22:37"/>
  </r>
  <r>
    <s v="EXP-2026-0135"/>
    <s v="ALL-2026-0067"/>
    <s v="PROJ-Emer-039"/>
    <x v="112"/>
    <x v="2"/>
    <s v="Activity: Equipment Purchase"/>
    <n v="42108"/>
    <n v="40376.505541920662"/>
    <s v="Partially Paid"/>
    <s v="PMT-08134"/>
    <s v="UNOPS"/>
    <d v="2026-04-15T23:22:37"/>
  </r>
  <r>
    <s v="EXP-2026-0136"/>
    <s v="ALL-2026-0094"/>
    <s v="PROJ-Emer-022"/>
    <x v="113"/>
    <x v="1"/>
    <s v="Activity: Consultancy Days"/>
    <n v="23145"/>
    <n v="0"/>
    <s v="Open"/>
    <s v="PMT-03197"/>
    <s v="UNOPS"/>
    <d v="2026-04-15T23:22:37"/>
  </r>
  <r>
    <s v="EXP-2026-0137"/>
    <s v="ALL-2026-0043"/>
    <s v="PROJ-Agri-014"/>
    <x v="114"/>
    <x v="0"/>
    <s v="Activity: Field Mission"/>
    <n v="43871"/>
    <n v="34520.10342619419"/>
    <s v="Partially Paid"/>
    <s v="PMT-07760"/>
    <s v="Government Ministry"/>
    <d v="2026-04-15T23:22:37"/>
  </r>
  <r>
    <s v="EXP-2026-0138"/>
    <s v="ALL-2026-0014"/>
    <s v="PROJ-Nutr-016"/>
    <x v="115"/>
    <x v="1"/>
    <s v="Activity: Training Workshop"/>
    <n v="25618"/>
    <n v="21477.053791368005"/>
    <s v="Partially Paid"/>
    <s v="PMT-06690"/>
    <s v="Local Partner NGO"/>
    <d v="2026-04-15T23:22:37"/>
  </r>
  <r>
    <s v="EXP-2026-0139"/>
    <s v="ALL-2026-0022"/>
    <s v="PROJ-Agri-024"/>
    <x v="116"/>
    <x v="3"/>
    <s v="Activity: Consultancy Days"/>
    <n v="40501"/>
    <n v="30487.979561221597"/>
    <s v="Partially Paid"/>
    <s v="PMT-04400"/>
    <s v="Local Partner NGO"/>
    <d v="2026-04-15T23:22:37"/>
  </r>
  <r>
    <s v="EXP-2026-0140"/>
    <s v="ALL-2026-0004"/>
    <s v="PROJ-Gend-027"/>
    <x v="117"/>
    <x v="5"/>
    <s v="Activity: Grant Disbursement"/>
    <n v="8147"/>
    <n v="6389.8659401834011"/>
    <s v="Partially Paid"/>
    <s v="PMT-10749"/>
    <s v="UNOPS"/>
    <d v="2026-04-15T23:22:37"/>
  </r>
  <r>
    <s v="EXP-2026-0141"/>
    <s v="ALL-2026-0006"/>
    <s v="PROJ-Clim-028"/>
    <x v="39"/>
    <x v="1"/>
    <s v="Activity: Consultancy Days"/>
    <n v="25035"/>
    <n v="0"/>
    <s v="Open"/>
    <s v="PMT-08149"/>
    <s v="FAO Regional Hub"/>
    <d v="2026-04-15T23:22:37"/>
  </r>
  <r>
    <s v="EXP-2026-0142"/>
    <s v="ALL-2026-0085"/>
    <s v="PROJ-Clim-001"/>
    <x v="118"/>
    <x v="0"/>
    <s v="Activity: Equipment Purchase"/>
    <n v="35262"/>
    <n v="0"/>
    <s v="Open"/>
    <s v="PMT-06648"/>
    <s v="Private Sector Contractor"/>
    <d v="2026-04-15T23:22:37"/>
  </r>
  <r>
    <s v="EXP-2026-0143"/>
    <s v="ALL-2026-0112"/>
    <s v="PROJ-Agri-041"/>
    <x v="119"/>
    <x v="3"/>
    <s v="Activity: Consultancy Days"/>
    <n v="5641"/>
    <n v="0"/>
    <s v="Open"/>
    <s v="PMT-02348"/>
    <s v="Government Ministry"/>
    <d v="2026-04-15T23:22:37"/>
  </r>
  <r>
    <s v="EXP-2026-0144"/>
    <s v="ALL-2026-0082"/>
    <s v="PROJ-Nutr-027"/>
    <x v="120"/>
    <x v="2"/>
    <s v="Activity: Training Workshop"/>
    <n v="9995"/>
    <n v="8993.1628789305687"/>
    <s v="Partially Paid"/>
    <s v="PMT-08736"/>
    <s v="Private Sector Contractor"/>
    <d v="2026-04-15T23:22:37"/>
  </r>
  <r>
    <s v="EXP-2026-0145"/>
    <s v="ALL-2026-0114"/>
    <s v="PROJ-Agri-046"/>
    <x v="96"/>
    <x v="2"/>
    <s v="Activity: Grant Disbursement"/>
    <n v="19463"/>
    <n v="14924.36073231101"/>
    <s v="Partially Paid"/>
    <s v="PMT-02680"/>
    <s v="Government Ministry"/>
    <d v="2026-04-15T23:22:37"/>
  </r>
  <r>
    <s v="EXP-2026-0146"/>
    <s v="ALL-2026-0102"/>
    <s v="PROJ-Agri-023"/>
    <x v="7"/>
    <x v="2"/>
    <s v="Activity: Grant Disbursement"/>
    <n v="50827"/>
    <n v="49021.285387539858"/>
    <s v="Partially Paid"/>
    <s v="PMT-04901"/>
    <s v="UNOPS"/>
    <d v="2026-04-15T23:22:37"/>
  </r>
  <r>
    <s v="EXP-2026-0147"/>
    <s v="ALL-2026-0044"/>
    <s v="PROJ-Nutr-049"/>
    <x v="121"/>
    <x v="2"/>
    <s v="Activity: Equipment Purchase"/>
    <n v="40285"/>
    <n v="37872.847521156073"/>
    <s v="Partially Paid"/>
    <s v="PMT-01026"/>
    <s v="Private Sector Contractor"/>
    <d v="2026-04-15T23:22:37"/>
  </r>
  <r>
    <s v="EXP-2026-0148"/>
    <s v="ALL-2026-0025"/>
    <s v="PROJ-Poli-038"/>
    <x v="16"/>
    <x v="1"/>
    <s v="Activity: Equipment Purchase"/>
    <n v="13248"/>
    <n v="12320.040598297119"/>
    <s v="Partially Paid"/>
    <s v="PMT-09240"/>
    <s v="FAO Regional Hub"/>
    <d v="2026-04-15T23:22:37"/>
  </r>
  <r>
    <s v="EXP-2026-0149"/>
    <s v="ALL-2026-0120"/>
    <s v="PROJ-Poli-032"/>
    <x v="122"/>
    <x v="0"/>
    <s v="Activity: Equipment Purchase"/>
    <n v="18954"/>
    <n v="0"/>
    <s v="Open"/>
    <s v="PMT-08067"/>
    <s v="UNOPS"/>
    <d v="2026-04-15T23:22:37"/>
  </r>
  <r>
    <s v="EXP-2026-0150"/>
    <s v="ALL-2026-0019"/>
    <s v="PROJ-Agri-029"/>
    <x v="123"/>
    <x v="3"/>
    <s v="Activity: Grant Disbursement"/>
    <n v="17594"/>
    <n v="0"/>
    <s v="Open"/>
    <s v="PMT-03824"/>
    <s v="FAO Regional Hub"/>
    <d v="2026-04-15T23:22:37"/>
  </r>
  <r>
    <s v="EXP-2026-0151"/>
    <s v="ALL-2026-0027"/>
    <s v="PROJ-Poli-032"/>
    <x v="124"/>
    <x v="4"/>
    <s v="Activity: Equipment Purchase"/>
    <n v="50523"/>
    <n v="46867.780435341592"/>
    <s v="Partially Paid"/>
    <s v="PMT-02415"/>
    <s v="UNOPS"/>
    <d v="2026-04-15T23:22:37"/>
  </r>
  <r>
    <s v="EXP-2026-0152"/>
    <s v="ALL-2026-0011"/>
    <s v="PROJ-Poli-045"/>
    <x v="125"/>
    <x v="5"/>
    <s v="Activity: Field Mission"/>
    <n v="15113"/>
    <n v="11393.046856474875"/>
    <s v="Partially Paid"/>
    <s v="PMT-05064"/>
    <s v="UNDP Country Office"/>
    <d v="2026-04-15T23:22:37"/>
  </r>
  <r>
    <s v="EXP-2026-0153"/>
    <s v="ALL-2026-0108"/>
    <s v="PROJ-Clim-010"/>
    <x v="126"/>
    <x v="2"/>
    <s v="Activity: Field Mission"/>
    <n v="6634"/>
    <n v="0"/>
    <s v="Open"/>
    <s v="PMT-04760"/>
    <s v="Private Sector Contractor"/>
    <d v="2026-04-15T23:22:37"/>
  </r>
  <r>
    <s v="EXP-2026-0154"/>
    <s v="ALL-2026-0080"/>
    <s v="PROJ-Gend-049"/>
    <x v="113"/>
    <x v="0"/>
    <s v="Activity: Field Mission"/>
    <n v="1570"/>
    <n v="1179.0047643780708"/>
    <s v="Partially Paid"/>
    <s v="PMT-01745"/>
    <s v="Government Ministry"/>
    <d v="2026-04-15T23:22:37"/>
  </r>
  <r>
    <s v="EXP-2026-0155"/>
    <s v="ALL-2026-0057"/>
    <s v="PROJ-Agri-013"/>
    <x v="4"/>
    <x v="4"/>
    <s v="Activity: Equipment Purchase"/>
    <n v="12337"/>
    <n v="11571.685819411277"/>
    <s v="Partially Paid"/>
    <s v="PMT-04954"/>
    <s v="Private Sector Contractor"/>
    <d v="2026-04-15T23:22:37"/>
  </r>
  <r>
    <s v="EXP-2026-0156"/>
    <s v="ALL-2026-0089"/>
    <s v="PROJ-Clim-013"/>
    <x v="125"/>
    <x v="3"/>
    <s v="Activity: Consultancy Days"/>
    <n v="2717"/>
    <n v="0"/>
    <s v="Open"/>
    <s v="PMT-03375"/>
    <s v="Local Partner NGO"/>
    <d v="2026-04-15T23:22:37"/>
  </r>
  <r>
    <s v="EXP-2026-0157"/>
    <s v="ALL-2026-0062"/>
    <s v="PROJ-Nutr-026"/>
    <x v="127"/>
    <x v="2"/>
    <s v="Activity: Grant Disbursement"/>
    <n v="36710"/>
    <n v="28096.123296201229"/>
    <s v="Partially Paid"/>
    <s v="PMT-04465"/>
    <s v="Government Ministry"/>
    <d v="2026-04-15T23:22:37"/>
  </r>
  <r>
    <s v="EXP-2026-0158"/>
    <s v="ALL-2026-0050"/>
    <s v="PROJ-Emer-004"/>
    <x v="128"/>
    <x v="4"/>
    <s v="Activity: Consultancy Days"/>
    <n v="5033"/>
    <n v="3661.6022248983381"/>
    <s v="Partially Paid"/>
    <s v="PMT-06799"/>
    <s v="UNOPS"/>
    <d v="2026-04-15T23:22:37"/>
  </r>
  <r>
    <s v="EXP-2026-0159"/>
    <s v="ALL-2026-0101"/>
    <s v="PROJ-Poli-007"/>
    <x v="129"/>
    <x v="5"/>
    <s v="Activity: Training Workshop"/>
    <n v="1157"/>
    <n v="817.89813451170915"/>
    <s v="Partially Paid"/>
    <s v="PMT-05362"/>
    <s v="FAO Regional Hub"/>
    <d v="2026-04-15T23:22:37"/>
  </r>
  <r>
    <s v="EXP-2026-0160"/>
    <s v="ALL-2026-0113"/>
    <s v="PROJ-Emer-040"/>
    <x v="130"/>
    <x v="5"/>
    <s v="Activity: Field Mission"/>
    <n v="16828"/>
    <n v="15510.658691263197"/>
    <s v="Partially Paid"/>
    <s v="PMT-05142"/>
    <s v="UNOPS"/>
    <d v="2026-04-15T23:22:37"/>
  </r>
  <r>
    <s v="EXP-2026-0161"/>
    <s v="ALL-2026-0054"/>
    <s v="PROJ-Gend-049"/>
    <x v="131"/>
    <x v="4"/>
    <s v="Activity: Consultancy Days"/>
    <n v="32948"/>
    <n v="0"/>
    <s v="Open"/>
    <s v="PMT-09662"/>
    <s v="UNDP Country Office"/>
    <d v="2026-04-15T23:22:37"/>
  </r>
  <r>
    <s v="EXP-2026-0162"/>
    <s v="ALL-2026-0043"/>
    <s v="PROJ-Nutr-014"/>
    <x v="132"/>
    <x v="2"/>
    <s v="Activity: Consultancy Days"/>
    <n v="47265"/>
    <n v="0"/>
    <s v="Open"/>
    <s v="PMT-09887"/>
    <s v="Local Partner NGO"/>
    <d v="2026-04-15T23:22:37"/>
  </r>
  <r>
    <s v="EXP-2026-0163"/>
    <s v="ALL-2026-0009"/>
    <s v="PROJ-Agri-040"/>
    <x v="133"/>
    <x v="4"/>
    <s v="Activity: Equipment Purchase"/>
    <n v="40524"/>
    <n v="38696.768901515003"/>
    <s v="Partially Paid"/>
    <s v="PMT-01330"/>
    <s v="Private Sector Contractor"/>
    <d v="2026-04-15T23:22:37"/>
  </r>
  <r>
    <s v="EXP-2026-0164"/>
    <s v="ALL-2026-0008"/>
    <s v="PROJ-Clim-013"/>
    <x v="68"/>
    <x v="2"/>
    <s v="Activity: Training Workshop"/>
    <n v="33088"/>
    <n v="31779.620646667478"/>
    <s v="Partially Paid"/>
    <s v="PMT-02607"/>
    <s v="Local Partner NGO"/>
    <d v="2026-04-15T23:22:37"/>
  </r>
  <r>
    <s v="EXP-2026-0165"/>
    <s v="ALL-2026-0054"/>
    <s v="PROJ-Nutr-004"/>
    <x v="134"/>
    <x v="4"/>
    <s v="Activity: Equipment Purchase"/>
    <n v="36354"/>
    <n v="0"/>
    <s v="Open"/>
    <s v="PMT-10911"/>
    <s v="UNDP Country Office"/>
    <d v="2026-04-15T23:22:37"/>
  </r>
  <r>
    <s v="EXP-2026-0166"/>
    <s v="ALL-2026-0071"/>
    <s v="PROJ-Gend-042"/>
    <x v="135"/>
    <x v="3"/>
    <s v="Activity: Training Workshop"/>
    <n v="24823"/>
    <n v="19208.569983428715"/>
    <s v="Partially Paid"/>
    <s v="PMT-01099"/>
    <s v="Local Partner NGO"/>
    <d v="2026-04-15T23:22:37"/>
  </r>
  <r>
    <s v="EXP-2026-0167"/>
    <s v="ALL-2026-0102"/>
    <s v="PROJ-Nutr-009"/>
    <x v="136"/>
    <x v="0"/>
    <s v="Activity: Training Workshop"/>
    <n v="46572"/>
    <n v="0"/>
    <s v="Open"/>
    <s v="PMT-05086"/>
    <s v="Local Partner NGO"/>
    <d v="2026-04-15T23:22:37"/>
  </r>
  <r>
    <s v="EXP-2026-0168"/>
    <s v="ALL-2026-0036"/>
    <s v="PROJ-Clim-027"/>
    <x v="27"/>
    <x v="5"/>
    <s v="Activity: Field Mission"/>
    <n v="17559"/>
    <n v="0"/>
    <s v="Open"/>
    <s v="PMT-02834"/>
    <s v="Local Partner NGO"/>
    <d v="2026-04-15T23:22:37"/>
  </r>
  <r>
    <s v="EXP-2026-0169"/>
    <s v="ALL-2026-0090"/>
    <s v="PROJ-Agri-018"/>
    <x v="31"/>
    <x v="5"/>
    <s v="Activity: Training Workshop"/>
    <n v="28437"/>
    <n v="20441.506041669843"/>
    <s v="Partially Paid"/>
    <s v="PMT-10043"/>
    <s v="Local Partner NGO"/>
    <d v="2026-04-15T23:22:37"/>
  </r>
  <r>
    <s v="EXP-2026-0170"/>
    <s v="ALL-2026-0095"/>
    <s v="PROJ-Clim-045"/>
    <x v="137"/>
    <x v="0"/>
    <s v="Activity: Training Workshop"/>
    <n v="40028"/>
    <n v="0"/>
    <s v="Open"/>
    <s v="PMT-09113"/>
    <s v="Private Sector Contractor"/>
    <d v="2026-04-15T23:22:37"/>
  </r>
  <r>
    <s v="EXP-2026-0171"/>
    <s v="ALL-2026-0048"/>
    <s v="PROJ-Emer-049"/>
    <x v="138"/>
    <x v="3"/>
    <s v="Activity: Consultancy Days"/>
    <n v="50709"/>
    <n v="42714.691700845957"/>
    <s v="Partially Paid"/>
    <s v="PMT-04464"/>
    <s v="Government Ministry"/>
    <d v="2026-04-15T23:22:37"/>
  </r>
  <r>
    <s v="EXP-2026-0172"/>
    <s v="ALL-2026-0002"/>
    <s v="PROJ-Agri-049"/>
    <x v="122"/>
    <x v="2"/>
    <s v="Activity: Equipment Purchase"/>
    <n v="43266"/>
    <n v="38823.139047145844"/>
    <s v="Partially Paid"/>
    <s v="PMT-03309"/>
    <s v="UNDP Country Office"/>
    <d v="2026-04-15T23:22:37"/>
  </r>
  <r>
    <s v="EXP-2026-0173"/>
    <s v="ALL-2026-0088"/>
    <s v="PROJ-Nutr-021"/>
    <x v="139"/>
    <x v="0"/>
    <s v="Activity: Consultancy Days"/>
    <n v="33507"/>
    <n v="26133.964956361055"/>
    <s v="Partially Paid"/>
    <s v="PMT-10501"/>
    <s v="UNDP Country Office"/>
    <d v="2026-04-15T23:22:37"/>
  </r>
  <r>
    <s v="EXP-2026-0174"/>
    <s v="ALL-2026-0086"/>
    <s v="PROJ-Poli-006"/>
    <x v="140"/>
    <x v="0"/>
    <s v="Activity: Grant Disbursement"/>
    <n v="34513"/>
    <n v="0"/>
    <s v="Open"/>
    <s v="PMT-01243"/>
    <s v="FAO Regional Hub"/>
    <d v="2026-04-15T23:22:37"/>
  </r>
  <r>
    <s v="EXP-2026-0175"/>
    <s v="ALL-2026-0050"/>
    <s v="PROJ-Emer-015"/>
    <x v="141"/>
    <x v="1"/>
    <s v="Activity: Grant Disbursement"/>
    <n v="18605"/>
    <n v="0"/>
    <s v="Open"/>
    <s v="PMT-07444"/>
    <s v="Government Ministry"/>
    <d v="2026-04-15T23:22:37"/>
  </r>
  <r>
    <s v="EXP-2026-0176"/>
    <s v="ALL-2026-0103"/>
    <s v="PROJ-Emer-019"/>
    <x v="142"/>
    <x v="2"/>
    <s v="Activity: Consultancy Days"/>
    <n v="3588"/>
    <n v="0"/>
    <s v="Open"/>
    <s v="PMT-01520"/>
    <s v="FAO Regional Hub"/>
    <d v="2026-04-15T23:22:37"/>
  </r>
  <r>
    <s v="EXP-2026-0177"/>
    <s v="ALL-2026-0002"/>
    <s v="PROJ-Gend-041"/>
    <x v="143"/>
    <x v="2"/>
    <s v="Activity: Grant Disbursement"/>
    <n v="31861"/>
    <n v="24280.051344132422"/>
    <s v="Partially Paid"/>
    <s v="PMT-06553"/>
    <s v="Local Partner NGO"/>
    <d v="2026-04-15T23:22:37"/>
  </r>
  <r>
    <s v="EXP-2026-0178"/>
    <s v="ALL-2026-0107"/>
    <s v="PROJ-Nutr-005"/>
    <x v="144"/>
    <x v="1"/>
    <s v="Activity: Grant Disbursement"/>
    <n v="31146"/>
    <n v="29760.210944259165"/>
    <s v="Partially Paid"/>
    <s v="PMT-06542"/>
    <s v="Government Ministry"/>
    <d v="2026-04-15T23:22:37"/>
  </r>
  <r>
    <s v="EXP-2026-0179"/>
    <s v="ALL-2026-0045"/>
    <s v="PROJ-Poli-003"/>
    <x v="145"/>
    <x v="2"/>
    <s v="Activity: Field Mission"/>
    <n v="46020"/>
    <n v="34242.61239695549"/>
    <s v="Partially Paid"/>
    <s v="PMT-03106"/>
    <s v="UNOPS"/>
    <d v="2026-04-15T23:22:37"/>
  </r>
  <r>
    <s v="EXP-2026-0180"/>
    <s v="ALL-2026-0057"/>
    <s v="PROJ-Gend-049"/>
    <x v="38"/>
    <x v="5"/>
    <s v="Activity: Equipment Purchase"/>
    <n v="25149"/>
    <n v="0"/>
    <s v="Open"/>
    <s v="PMT-03289"/>
    <s v="UNDP Country Office"/>
    <d v="2026-04-15T23:22:37"/>
  </r>
  <r>
    <s v="EXP-2026-0181"/>
    <s v="ALL-2026-0063"/>
    <s v="PROJ-Poli-043"/>
    <x v="146"/>
    <x v="2"/>
    <s v="Activity: Grant Disbursement"/>
    <n v="45543"/>
    <n v="0"/>
    <s v="Open"/>
    <s v="PMT-07345"/>
    <s v="UNOPS"/>
    <d v="2026-04-15T23:22:37"/>
  </r>
  <r>
    <s v="EXP-2026-0182"/>
    <s v="ALL-2026-0034"/>
    <s v="PROJ-Nutr-011"/>
    <x v="147"/>
    <x v="1"/>
    <s v="Activity: Field Mission"/>
    <n v="9597"/>
    <n v="7265.0381356537337"/>
    <s v="Partially Paid"/>
    <s v="PMT-05012"/>
    <s v="UNDP Country Office"/>
    <d v="2026-04-15T23:22:37"/>
  </r>
  <r>
    <s v="EXP-2026-0183"/>
    <s v="ALL-2026-0106"/>
    <s v="PROJ-Emer-009"/>
    <x v="148"/>
    <x v="1"/>
    <s v="Activity: Field Mission"/>
    <n v="15122"/>
    <n v="11358.74987244606"/>
    <s v="Partially Paid"/>
    <s v="PMT-02997"/>
    <s v="UNOPS"/>
    <d v="2026-04-15T23:22:37"/>
  </r>
  <r>
    <s v="EXP-2026-0184"/>
    <s v="ALL-2026-0039"/>
    <s v="PROJ-Poli-034"/>
    <x v="149"/>
    <x v="3"/>
    <s v="Activity: Grant Disbursement"/>
    <n v="29874"/>
    <n v="25443.161285054681"/>
    <s v="Partially Paid"/>
    <s v="PMT-03683"/>
    <s v="Local Partner NGO"/>
    <d v="2026-04-15T23:22:37"/>
  </r>
  <r>
    <s v="EXP-2026-0185"/>
    <s v="ALL-2026-0116"/>
    <s v="PROJ-Poli-042"/>
    <x v="150"/>
    <x v="0"/>
    <s v="Activity: Field Mission"/>
    <n v="1772"/>
    <n v="1557.3508776187896"/>
    <s v="Partially Paid"/>
    <s v="PMT-03416"/>
    <s v="Private Sector Contractor"/>
    <d v="2026-04-15T23:22:37"/>
  </r>
  <r>
    <s v="EXP-2026-0186"/>
    <s v="ALL-2026-0069"/>
    <s v="PROJ-Emer-013"/>
    <x v="129"/>
    <x v="5"/>
    <s v="Activity: Grant Disbursement"/>
    <n v="14452"/>
    <n v="11737.341792893409"/>
    <s v="Partially Paid"/>
    <s v="PMT-06096"/>
    <s v="Local Partner NGO"/>
    <d v="2026-04-15T23:22:37"/>
  </r>
  <r>
    <s v="EXP-2026-0187"/>
    <s v="ALL-2026-0119"/>
    <s v="PROJ-Emer-013"/>
    <x v="109"/>
    <x v="0"/>
    <s v="Activity: Equipment Purchase"/>
    <n v="6313"/>
    <n v="4674.8320214748383"/>
    <s v="Partially Paid"/>
    <s v="PMT-02056"/>
    <s v="Government Ministry"/>
    <d v="2026-04-15T23:22:37"/>
  </r>
  <r>
    <s v="EXP-2026-0188"/>
    <s v="ALL-2026-0015"/>
    <s v="PROJ-Agri-031"/>
    <x v="151"/>
    <x v="1"/>
    <s v="Activity: Field Mission"/>
    <n v="20421"/>
    <n v="17697.616277951001"/>
    <s v="Partially Paid"/>
    <s v="PMT-07165"/>
    <s v="Government Ministry"/>
    <d v="2026-04-15T23:22:37"/>
  </r>
  <r>
    <s v="EXP-2026-0189"/>
    <s v="ALL-2026-0037"/>
    <s v="PROJ-Gend-042"/>
    <x v="152"/>
    <x v="0"/>
    <s v="Activity: Consultancy Days"/>
    <n v="27478"/>
    <n v="27319.192405581474"/>
    <s v="Partially Paid"/>
    <s v="PMT-01771"/>
    <s v="UNDP Country Office"/>
    <d v="2026-04-15T23:22:37"/>
  </r>
  <r>
    <s v="EXP-2026-0190"/>
    <s v="ALL-2026-0018"/>
    <s v="PROJ-Poli-043"/>
    <x v="153"/>
    <x v="1"/>
    <s v="Activity: Grant Disbursement"/>
    <n v="7853"/>
    <n v="0"/>
    <s v="Open"/>
    <s v="PMT-10726"/>
    <s v="UNDP Country Office"/>
    <d v="2026-04-15T23:22:37"/>
  </r>
  <r>
    <s v="EXP-2026-0191"/>
    <s v="ALL-2026-0112"/>
    <s v="PROJ-Agri-046"/>
    <x v="154"/>
    <x v="1"/>
    <s v="Activity: Field Mission"/>
    <n v="33895"/>
    <n v="29926.074687629938"/>
    <s v="Partially Paid"/>
    <s v="PMT-06105"/>
    <s v="Private Sector Contractor"/>
    <d v="2026-04-15T23:22:37"/>
  </r>
  <r>
    <s v="EXP-2026-0192"/>
    <s v="ALL-2026-0045"/>
    <s v="PROJ-Poli-030"/>
    <x v="155"/>
    <x v="4"/>
    <s v="Activity: Equipment Purchase"/>
    <n v="41528"/>
    <n v="37219.872873592372"/>
    <s v="Partially Paid"/>
    <s v="PMT-04399"/>
    <s v="Local Partner NGO"/>
    <d v="2026-04-15T23:22:37"/>
  </r>
  <r>
    <s v="EXP-2026-0193"/>
    <s v="ALL-2026-0073"/>
    <s v="PROJ-Poli-046"/>
    <x v="120"/>
    <x v="5"/>
    <s v="Activity: Equipment Purchase"/>
    <n v="11499"/>
    <n v="9262.7256567656987"/>
    <s v="Partially Paid"/>
    <s v="PMT-05370"/>
    <s v="UNOPS"/>
    <d v="2026-04-15T23:22:37"/>
  </r>
  <r>
    <s v="EXP-2026-0194"/>
    <s v="ALL-2026-0011"/>
    <s v="PROJ-Poli-044"/>
    <x v="59"/>
    <x v="3"/>
    <s v="Activity: Grant Disbursement"/>
    <n v="32884"/>
    <n v="0"/>
    <s v="Open"/>
    <s v="PMT-05643"/>
    <s v="UNOPS"/>
    <d v="2026-04-15T23:22:37"/>
  </r>
  <r>
    <s v="EXP-2026-0195"/>
    <s v="ALL-2026-0057"/>
    <s v="PROJ-Clim-011"/>
    <x v="156"/>
    <x v="0"/>
    <s v="Activity: Field Mission"/>
    <n v="27709"/>
    <n v="0"/>
    <s v="Open"/>
    <s v="PMT-09112"/>
    <s v="Local Partner NGO"/>
    <d v="2026-04-15T23:22:37"/>
  </r>
  <r>
    <s v="EXP-2026-0196"/>
    <s v="ALL-2026-0073"/>
    <s v="PROJ-Poli-047"/>
    <x v="157"/>
    <x v="5"/>
    <s v="Activity: Equipment Purchase"/>
    <n v="21514"/>
    <n v="16018.697808361052"/>
    <s v="Partially Paid"/>
    <s v="PMT-07489"/>
    <s v="FAO Regional Hub"/>
    <d v="2026-04-15T23:22:37"/>
  </r>
  <r>
    <s v="EXP-2026-0197"/>
    <s v="ALL-2026-0063"/>
    <s v="PROJ-Agri-042"/>
    <x v="158"/>
    <x v="3"/>
    <s v="Activity: Consultancy Days"/>
    <n v="29434"/>
    <n v="25589.047152173516"/>
    <s v="Partially Paid"/>
    <s v="PMT-06091"/>
    <s v="UNDP Country Office"/>
    <d v="2026-04-15T23:22:37"/>
  </r>
  <r>
    <s v="EXP-2026-0198"/>
    <s v="ALL-2026-0108"/>
    <s v="PROJ-Emer-010"/>
    <x v="159"/>
    <x v="4"/>
    <s v="Activity: Equipment Purchase"/>
    <n v="37584"/>
    <n v="0"/>
    <s v="Open"/>
    <s v="PMT-08332"/>
    <s v="Local Partner NGO"/>
    <d v="2026-04-15T23:22:37"/>
  </r>
  <r>
    <s v="EXP-2026-0199"/>
    <s v="ALL-2026-0025"/>
    <s v="PROJ-Agri-002"/>
    <x v="74"/>
    <x v="4"/>
    <s v="Activity: Consultancy Days"/>
    <n v="37184"/>
    <n v="30436.305929565428"/>
    <s v="Partially Paid"/>
    <s v="PMT-03706"/>
    <s v="FAO Regional Hub"/>
    <d v="2026-04-15T23:22:37"/>
  </r>
  <r>
    <s v="EXP-2026-0200"/>
    <s v="ALL-2026-0075"/>
    <s v="PROJ-Emer-013"/>
    <x v="119"/>
    <x v="0"/>
    <s v="Activity: Equipment Purchase"/>
    <n v="2124"/>
    <n v="0"/>
    <s v="Open"/>
    <s v="PMT-08776"/>
    <s v="Private Sector Contractor"/>
    <d v="2026-04-15T23:22: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A22CB-1D60-4ECB-AF71-EC7D41E2E862}" name="Donor_Summa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6" firstHeaderRow="1" firstDataRow="2" firstDataCol="1"/>
  <pivotFields count="13">
    <pivotField showAll="0"/>
    <pivotField numFmtId="164" showAll="0"/>
    <pivotField axis="axisRow" showAll="0">
      <items count="9">
        <item h="1" x="0"/>
        <item h="1" x="7"/>
        <item h="1" x="6"/>
        <item x="2"/>
        <item h="1" x="4"/>
        <item h="1" x="5"/>
        <item h="1" x="3"/>
        <item h="1" x="1"/>
        <item t="default"/>
      </items>
    </pivotField>
    <pivotField axis="axisCol" showAll="0">
      <items count="5">
        <item x="2"/>
        <item x="3"/>
        <item x="0"/>
        <item x="1"/>
        <item t="default"/>
      </items>
    </pivotField>
    <pivotField showAll="0"/>
    <pivotField numFmtId="3" showAll="0"/>
    <pivotField numFmtId="165" showAll="0"/>
    <pivotField dataField="1" numFmtId="166" showAll="0"/>
    <pivotField showAll="0"/>
    <pivotField showAll="0"/>
    <pivotField numFmtId="164" showAll="0"/>
    <pivotField showAll="0"/>
    <pivotField numFmtId="167" showAll="0"/>
  </pivotFields>
  <rowFields count="1">
    <field x="2"/>
  </rowFields>
  <rowItems count="2">
    <i>
      <x v="3"/>
    </i>
    <i t="grand">
      <x/>
    </i>
  </rowItems>
  <colFields count="1">
    <field x="3"/>
  </colFields>
  <colItems count="5">
    <i>
      <x/>
    </i>
    <i>
      <x v="1"/>
    </i>
    <i>
      <x v="2"/>
    </i>
    <i>
      <x v="3"/>
    </i>
    <i t="grand">
      <x/>
    </i>
  </colItems>
  <dataFields count="1">
    <dataField name="Total Contribution" fld="7" baseField="0" baseItem="0" numFmtId="169"/>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D87A86-EEA6-417D-B494-9267C4449C15}" name="Pillar_Alloca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9">
    <pivotField showAll="0"/>
    <pivotField showAll="0"/>
    <pivotField showAll="0"/>
    <pivotField axis="axisRow" showAll="0">
      <items count="7">
        <item h="1" x="0"/>
        <item h="1" x="1"/>
        <item x="4"/>
        <item h="1" x="3"/>
        <item h="1" x="2"/>
        <item h="1" x="5"/>
        <item t="default"/>
      </items>
    </pivotField>
    <pivotField showAll="0"/>
    <pivotField dataField="1" numFmtId="166" showAll="0"/>
    <pivotField numFmtId="164" showAll="0"/>
    <pivotField showAll="0"/>
    <pivotField numFmtId="167" showAll="0"/>
  </pivotFields>
  <rowFields count="1">
    <field x="3"/>
  </rowFields>
  <rowItems count="2">
    <i>
      <x v="2"/>
    </i>
    <i t="grand">
      <x/>
    </i>
  </rowItems>
  <colItems count="1">
    <i/>
  </colItems>
  <dataFields count="1">
    <dataField name="Total Allocated" fld="5" baseField="0" baseItem="0" numFmtId="16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334914-CD3E-473F-9DF9-10CE26CF2B32}" name="Expenditure_Timelin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44" firstHeaderRow="1" firstDataRow="2" firstDataCol="1"/>
  <pivotFields count="12">
    <pivotField showAll="0"/>
    <pivotField showAll="0"/>
    <pivotField showAll="0"/>
    <pivotField axis="axisRow" numFmtId="164" showAll="0">
      <items count="161">
        <item x="26"/>
        <item x="76"/>
        <item x="153"/>
        <item x="151"/>
        <item x="142"/>
        <item x="111"/>
        <item x="24"/>
        <item x="100"/>
        <item x="21"/>
        <item x="113"/>
        <item x="25"/>
        <item x="27"/>
        <item x="77"/>
        <item x="73"/>
        <item x="83"/>
        <item x="10"/>
        <item x="36"/>
        <item x="82"/>
        <item x="44"/>
        <item x="109"/>
        <item x="103"/>
        <item x="89"/>
        <item x="150"/>
        <item x="87"/>
        <item x="71"/>
        <item x="11"/>
        <item x="32"/>
        <item x="114"/>
        <item x="108"/>
        <item x="74"/>
        <item x="104"/>
        <item x="133"/>
        <item x="116"/>
        <item x="97"/>
        <item x="69"/>
        <item x="148"/>
        <item x="132"/>
        <item x="61"/>
        <item x="91"/>
        <item x="33"/>
        <item x="8"/>
        <item x="14"/>
        <item x="9"/>
        <item x="31"/>
        <item x="65"/>
        <item x="102"/>
        <item x="137"/>
        <item x="98"/>
        <item x="62"/>
        <item x="157"/>
        <item x="143"/>
        <item x="152"/>
        <item x="131"/>
        <item x="81"/>
        <item x="95"/>
        <item x="37"/>
        <item x="64"/>
        <item x="42"/>
        <item x="155"/>
        <item x="43"/>
        <item x="86"/>
        <item x="13"/>
        <item x="135"/>
        <item x="12"/>
        <item x="105"/>
        <item x="68"/>
        <item x="99"/>
        <item x="107"/>
        <item x="88"/>
        <item x="59"/>
        <item x="117"/>
        <item x="128"/>
        <item x="141"/>
        <item x="110"/>
        <item x="147"/>
        <item x="125"/>
        <item x="50"/>
        <item x="94"/>
        <item x="127"/>
        <item x="17"/>
        <item x="130"/>
        <item x="154"/>
        <item x="29"/>
        <item x="85"/>
        <item x="136"/>
        <item x="23"/>
        <item x="145"/>
        <item x="78"/>
        <item x="140"/>
        <item x="134"/>
        <item x="47"/>
        <item x="70"/>
        <item x="30"/>
        <item x="126"/>
        <item x="40"/>
        <item x="129"/>
        <item x="158"/>
        <item x="34"/>
        <item x="118"/>
        <item x="20"/>
        <item x="84"/>
        <item x="72"/>
        <item x="115"/>
        <item x="0"/>
        <item x="58"/>
        <item x="56"/>
        <item x="35"/>
        <item x="79"/>
        <item x="38"/>
        <item x="149"/>
        <item x="52"/>
        <item x="22"/>
        <item x="119"/>
        <item x="60"/>
        <item x="16"/>
        <item x="18"/>
        <item x="7"/>
        <item x="156"/>
        <item x="19"/>
        <item x="55"/>
        <item x="101"/>
        <item x="138"/>
        <item x="57"/>
        <item x="3"/>
        <item x="6"/>
        <item x="123"/>
        <item x="93"/>
        <item x="121"/>
        <item x="46"/>
        <item x="112"/>
        <item x="146"/>
        <item x="75"/>
        <item x="2"/>
        <item x="106"/>
        <item x="63"/>
        <item x="90"/>
        <item x="51"/>
        <item x="49"/>
        <item x="67"/>
        <item x="4"/>
        <item x="28"/>
        <item x="144"/>
        <item x="96"/>
        <item x="5"/>
        <item x="139"/>
        <item x="39"/>
        <item x="41"/>
        <item x="92"/>
        <item x="122"/>
        <item x="159"/>
        <item x="48"/>
        <item x="66"/>
        <item x="53"/>
        <item x="124"/>
        <item x="1"/>
        <item x="15"/>
        <item x="80"/>
        <item x="120"/>
        <item x="54"/>
        <item x="45"/>
        <item t="default"/>
      </items>
    </pivotField>
    <pivotField axis="axisCol" showAll="0">
      <items count="7">
        <item h="1" x="3"/>
        <item h="1" x="2"/>
        <item x="1"/>
        <item h="1" x="5"/>
        <item h="1" x="4"/>
        <item h="1" x="0"/>
        <item t="default"/>
      </items>
    </pivotField>
    <pivotField showAll="0"/>
    <pivotField numFmtId="166" showAll="0"/>
    <pivotField dataField="1" numFmtId="166" showAll="0"/>
    <pivotField showAll="0"/>
    <pivotField showAll="0"/>
    <pivotField showAll="0"/>
    <pivotField numFmtId="167" showAll="0"/>
  </pivotFields>
  <rowFields count="1">
    <field x="3"/>
  </rowFields>
  <rowItems count="40">
    <i>
      <x/>
    </i>
    <i>
      <x v="1"/>
    </i>
    <i>
      <x v="2"/>
    </i>
    <i>
      <x v="3"/>
    </i>
    <i>
      <x v="5"/>
    </i>
    <i>
      <x v="9"/>
    </i>
    <i>
      <x v="10"/>
    </i>
    <i>
      <x v="12"/>
    </i>
    <i>
      <x v="23"/>
    </i>
    <i>
      <x v="24"/>
    </i>
    <i>
      <x v="25"/>
    </i>
    <i>
      <x v="33"/>
    </i>
    <i>
      <x v="34"/>
    </i>
    <i>
      <x v="35"/>
    </i>
    <i>
      <x v="45"/>
    </i>
    <i>
      <x v="61"/>
    </i>
    <i>
      <x v="63"/>
    </i>
    <i>
      <x v="68"/>
    </i>
    <i>
      <x v="72"/>
    </i>
    <i>
      <x v="73"/>
    </i>
    <i>
      <x v="74"/>
    </i>
    <i>
      <x v="79"/>
    </i>
    <i>
      <x v="81"/>
    </i>
    <i>
      <x v="85"/>
    </i>
    <i>
      <x v="102"/>
    </i>
    <i>
      <x v="104"/>
    </i>
    <i>
      <x v="105"/>
    </i>
    <i>
      <x v="108"/>
    </i>
    <i>
      <x v="114"/>
    </i>
    <i>
      <x v="124"/>
    </i>
    <i>
      <x v="128"/>
    </i>
    <i>
      <x v="132"/>
    </i>
    <i>
      <x v="135"/>
    </i>
    <i>
      <x v="137"/>
    </i>
    <i>
      <x v="141"/>
    </i>
    <i>
      <x v="145"/>
    </i>
    <i>
      <x v="146"/>
    </i>
    <i>
      <x v="150"/>
    </i>
    <i>
      <x v="154"/>
    </i>
    <i t="grand">
      <x/>
    </i>
  </rowItems>
  <colFields count="1">
    <field x="4"/>
  </colFields>
  <colItems count="2">
    <i>
      <x v="2"/>
    </i>
    <i t="grand">
      <x/>
    </i>
  </colItems>
  <dataFields count="1">
    <dataField name="Disbursed" fld="7" baseField="0" baseItem="0" numFmtId="169"/>
  </dataFields>
  <chartFormats count="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nor_Name" xr10:uid="{DBD62088-5202-4064-8FFA-B110E547F213}" sourceName="Donor_Name">
  <pivotTables>
    <pivotTable tabId="9" name="Donor_Summary"/>
  </pivotTables>
  <data>
    <tabular pivotCacheId="2030536236">
      <items count="8">
        <i x="0"/>
        <i x="7"/>
        <i x="6"/>
        <i x="2" s="1"/>
        <i x="4"/>
        <i x="5"/>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Stream" xr10:uid="{B98A2B79-6F56-485E-BE9C-CA59B5B48296}" sourceName="Funding_Stream">
  <pivotTables>
    <pivotTable tabId="9" name="Donor_Summary"/>
  </pivotTables>
  <data>
    <tabular pivotCacheId="203053623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matic_Pillar" xr10:uid="{D0291651-8F12-486F-BC9F-166144316321}" sourceName="Thematic_Pillar">
  <pivotTables>
    <pivotTable tabId="10" name="Pillar_Allocation"/>
  </pivotTables>
  <data>
    <tabular pivotCacheId="2132318125">
      <items count="6">
        <i x="0"/>
        <i x="1"/>
        <i x="4" s="1"/>
        <i x="3"/>
        <i x="2"/>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nor_Name" xr10:uid="{3B1A896A-2F45-4006-85BB-928BCC4A38F9}" cache="Slicer_Donor_Name" caption="Donor Filter" rowHeight="251883"/>
  <slicer name="Funding_Stream" xr10:uid="{4B4E1698-4E02-4DCC-A006-8D31CB733B3C}" cache="Slicer_Funding_Stream" caption="Stream Filter" rowHeight="251883"/>
  <slicer name="Thematic_Pillar" xr10:uid="{39CD98B8-532E-4061-8679-446EC0650083}" cache="Slicer_Thematic_Pillar" caption="Pillar Filt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876FCD-7017-4B06-872E-A342E6D03831}" name="Revenue_Table" displayName="Revenue_Table" ref="A1:M86" totalsRowShown="0" headerRowDxfId="27">
  <autoFilter ref="A1:M86" xr:uid="{DA876FCD-7017-4B06-872E-A342E6D03831}"/>
  <tableColumns count="13">
    <tableColumn id="1" xr3:uid="{0D235DAE-CC19-4E7F-82C3-656A53C73C63}" name="Receipt_ID"/>
    <tableColumn id="2" xr3:uid="{CB0DB538-1E5C-45D5-B00D-131548DE1EA8}" name="Date_Received" dataDxfId="33"/>
    <tableColumn id="3" xr3:uid="{BD07EDF6-308C-4ADB-B412-76FC4C5DD33E}" name="Donor_Name"/>
    <tableColumn id="4" xr3:uid="{66549979-C61A-4B4A-88F1-4137E009A413}" name="Funding_Stream"/>
    <tableColumn id="5" xr3:uid="{B7A8040A-FA68-44B6-8241-F9AF09F53407}" name="Currency"/>
    <tableColumn id="6" xr3:uid="{58A7C5AB-2F06-4658-9A8C-D86204A6F349}" name="Amount_Original" dataDxfId="32"/>
    <tableColumn id="7" xr3:uid="{824EDE6B-AD62-49AB-9C04-EEC701FFC2C8}" name="Exchange_Rate" dataDxfId="31">
      <calculatedColumnFormula>VLOOKUP(E2,FX_Rates,2,FALSE)</calculatedColumnFormula>
    </tableColumn>
    <tableColumn id="8" xr3:uid="{F576783E-E0F4-4B0F-B7D8-A42AFF47FF06}" name="Amount_USD" dataDxfId="30">
      <calculatedColumnFormula>F2*G2</calculatedColumnFormula>
    </tableColumn>
    <tableColumn id="9" xr3:uid="{E1F18A93-675E-4145-ACB1-B28073A662A3}" name="Earmarking_Status"/>
    <tableColumn id="10" xr3:uid="{B6ED8485-A8F6-4697-9954-E408E7FC5C97}" name="Grant_Reference"/>
    <tableColumn id="11" xr3:uid="{ECBA442E-1B6F-4542-B87C-9031BB5EF813}" name="Expiry_Date" dataDxfId="29"/>
    <tableColumn id="12" xr3:uid="{9FEE08FC-8E3E-44E7-9B50-1DD3A8FB0CC4}" name="Restricted_To_Pillar"/>
    <tableColumn id="13" xr3:uid="{4FDC9380-C1D7-406A-A170-3E11D8399036}" name="Last_Update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4C8620-4016-4A2D-89DA-D191E3234EDF}" name="Allocation_Table" displayName="Allocation_Table" ref="A1:I121" totalsRowShown="0">
  <autoFilter ref="A1:I121" xr:uid="{294C8620-4016-4A2D-89DA-D191E3234EDF}"/>
  <tableColumns count="9">
    <tableColumn id="1" xr3:uid="{60E67E4C-4323-4F75-BBD7-80F48CF7252A}" name="Allocation_ID"/>
    <tableColumn id="2" xr3:uid="{356A588D-739C-4454-8FB9-A09982ECF4C5}" name="Project_Code"/>
    <tableColumn id="3" xr3:uid="{CAFCC102-2909-43BD-9236-649DE1630DE0}" name="Project_Title"/>
    <tableColumn id="4" xr3:uid="{47D1626D-9A0A-4A32-B11E-66ABE5F2602A}" name="Thematic_Pillar"/>
    <tableColumn id="5" xr3:uid="{872D849A-85D0-4289-90E9-D3A29AF27641}" name="Revenue_Source_ID"/>
    <tableColumn id="6" xr3:uid="{414A698D-346E-459A-9778-419D5F8E8896}" name="Amount_Allocated_USD" dataDxfId="26"/>
    <tableColumn id="7" xr3:uid="{18F53333-059A-4C73-9B39-B20B84E2B3C3}" name="Allocation_Date" dataDxfId="25"/>
    <tableColumn id="8" xr3:uid="{BCCFB78F-5805-4B3A-A684-42E30960E479}" name="Approved_By"/>
    <tableColumn id="9" xr3:uid="{8AF6E4A7-9507-4B4D-8DEB-5A2353AE0151}" name="Last_Updated"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A9150F-7A60-4AF6-AE4C-7CFCDE334685}" name="Expenditure_Table" displayName="Expenditure_Table" ref="A1:L201" totalsRowShown="0" headerRowDxfId="19">
  <autoFilter ref="A1:L201" xr:uid="{FBA9150F-7A60-4AF6-AE4C-7CFCDE334685}"/>
  <tableColumns count="12">
    <tableColumn id="1" xr3:uid="{068DD458-3D62-4A46-B50A-AFCADE2BF945}" name="Expenditure_ID"/>
    <tableColumn id="2" xr3:uid="{38F59129-55A6-46F3-99BE-C65D86F36A13}" name="Allocation_ID"/>
    <tableColumn id="3" xr3:uid="{03ADDA5A-7ECD-4D90-A1DB-1FE2330C45B0}" name="Project_Code"/>
    <tableColumn id="4" xr3:uid="{DCAC5CB1-BEFC-4F65-AE0D-63590D93E8DE}" name="Expenditure_Date" dataDxfId="23"/>
    <tableColumn id="5" xr3:uid="{7A4A88EF-9B32-4BEB-9498-A84E160A8540}" name="Expenditure_Category"/>
    <tableColumn id="6" xr3:uid="{71860D13-9A54-4B2B-99D3-6B3A9A88FC3F}" name="Description"/>
    <tableColumn id="7" xr3:uid="{FC446BDB-1A86-4EDF-ACBF-6994453049A3}" name="Commitment_Amount_USD" dataDxfId="22"/>
    <tableColumn id="8" xr3:uid="{FDC2BA14-A4C0-4E25-8FC5-CC658FF63BE2}" name="Disbursed_Amount_USD" dataDxfId="21"/>
    <tableColumn id="9" xr3:uid="{CDFD0A50-7F2E-4CB5-8F2A-A25F861E852A}" name="Commitment_Status"/>
    <tableColumn id="10" xr3:uid="{147DF924-575C-4A3E-8BFB-8C993D3B5557}" name="Payment_Reference"/>
    <tableColumn id="11" xr3:uid="{8F811938-6FCE-4CDD-84F0-6B2C4F5A4F3F}" name="Recipient"/>
    <tableColumn id="12" xr3:uid="{4BFEE47D-40D8-4E5C-BCDB-B894F226C5E6}" name="Last_Updated"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ABB9A9-2080-4AC6-AB96-E4268F2F795D}" name="Table4" displayName="Table4" ref="A3:I23" totalsRowShown="0">
  <autoFilter ref="A3:I23" xr:uid="{23ABB9A9-2080-4AC6-AB96-E4268F2F795D}"/>
  <tableColumns count="9">
    <tableColumn id="1" xr3:uid="{6A71756F-A535-42C5-9E4E-C0E4975420F3}" name="Allocation_ID"/>
    <tableColumn id="2" xr3:uid="{40177855-E218-44B9-A211-53440E4AB17A}" name="Project_Code"/>
    <tableColumn id="3" xr3:uid="{43DE6837-7AB4-480E-94D3-339BB9D55DC6}" name="Project_Title"/>
    <tableColumn id="4" xr3:uid="{B19F6063-D389-4AAA-82F8-8E9A084AF8B2}" name="Thematic_Pillar"/>
    <tableColumn id="5" xr3:uid="{9757C8B1-CB51-4D38-A7DF-ECEEC3729554}" name="Revenue_Source_ID"/>
    <tableColumn id="6" xr3:uid="{6E6BCAF1-2D4B-40B6-8CA3-4094B11C2E5A}" name="Amount_Allocated_USD"/>
    <tableColumn id="7" xr3:uid="{279FEF96-CAF1-4F67-88CC-1A576E8B9AE4}" name="Allocation_Date" dataDxfId="15"/>
    <tableColumn id="8" xr3:uid="{B2BC015E-8C55-4DD5-B7BC-7FFDB16F59BC}" name="Approved_By"/>
    <tableColumn id="9" xr3:uid="{B25D674A-D7AE-4BDA-ACAF-8731E5CAD716}" name="Last_Updated"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BBCB6C-245F-4A02-A3FC-F5E73D18A320}" name="Table5" displayName="Table5" ref="A3:I17" totalsRowShown="0">
  <autoFilter ref="A3:I17" xr:uid="{24BBCB6C-245F-4A02-A3FC-F5E73D18A320}"/>
  <tableColumns count="9">
    <tableColumn id="1" xr3:uid="{E9A1DEF0-8980-4883-A1AE-8C30F36451C4}" name="Allocation_ID"/>
    <tableColumn id="2" xr3:uid="{126D27E7-09DF-4767-8F77-97A5C77A39AE}" name="Project_Code"/>
    <tableColumn id="3" xr3:uid="{7FC2FEAA-D677-4548-8158-D8832F957669}" name="Project_Title"/>
    <tableColumn id="4" xr3:uid="{B12B4B5D-3D32-47BC-ADF0-6CB6938D1921}" name="Thematic_Pillar"/>
    <tableColumn id="5" xr3:uid="{EE9F2C12-917E-44B4-B218-9E0E86DB89E0}" name="Revenue_Source_ID"/>
    <tableColumn id="6" xr3:uid="{E5E4E56F-2FBE-4CDA-BCE8-079D37D87EF5}" name="Amount_Allocated_USD"/>
    <tableColumn id="7" xr3:uid="{1435FBE6-E88B-4674-9D65-07C17A03E518}" name="Allocation_Date" dataDxfId="13"/>
    <tableColumn id="8" xr3:uid="{05CE488D-E205-4170-B085-D6F41DFE0B46}" name="Approved_By"/>
    <tableColumn id="9" xr3:uid="{FF6C65B9-62FC-4242-8F2D-6F8F1F860203}" name="Last_Updated" dataDxf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A31D73-F5B0-415C-A827-4BA61B45448B}" name="Table6" displayName="Table6" ref="A3:I29" totalsRowShown="0">
  <autoFilter ref="A3:I29" xr:uid="{3CA31D73-F5B0-415C-A827-4BA61B45448B}"/>
  <tableColumns count="9">
    <tableColumn id="1" xr3:uid="{7B012DA0-F597-46D4-8937-3EA5A9ECD6E4}" name="Allocation_ID"/>
    <tableColumn id="2" xr3:uid="{B6949FE8-0874-41A0-B846-E8696BC851C8}" name="Project_Code"/>
    <tableColumn id="3" xr3:uid="{80403D43-51A0-4B80-8B32-B31B7571018F}" name="Project_Title"/>
    <tableColumn id="4" xr3:uid="{41D44360-13E4-49BD-815A-729FD9D4D076}" name="Thematic_Pillar"/>
    <tableColumn id="5" xr3:uid="{03EE05FA-5031-44A9-9F90-C7C75EF5C8D2}" name="Revenue_Source_ID"/>
    <tableColumn id="6" xr3:uid="{1A22099D-6938-425E-BCF0-B21097AD93AF}" name="Amount_Allocated_USD"/>
    <tableColumn id="7" xr3:uid="{6B0873D9-F3B4-452D-91B3-72A548169337}" name="Allocation_Date" dataDxfId="11"/>
    <tableColumn id="8" xr3:uid="{585C4BB3-7D87-4A36-971F-C46F8143D565}" name="Approved_By"/>
    <tableColumn id="9" xr3:uid="{02DF04B6-A249-47DC-9CC8-E3B84E726E1E}" name="Last_Updated"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CC2092-8445-4D3F-A3FD-A00AB9FBE325}" name="Table7" displayName="Table7" ref="A3:I26" totalsRowShown="0">
  <autoFilter ref="A3:I26" xr:uid="{FFCC2092-8445-4D3F-A3FD-A00AB9FBE325}"/>
  <tableColumns count="9">
    <tableColumn id="1" xr3:uid="{6B648C8F-4488-4BC5-A8F9-9EBAFB0E270A}" name="Allocation_ID"/>
    <tableColumn id="2" xr3:uid="{92C85372-B179-47CB-A031-57AA8CE5B66E}" name="Project_Code"/>
    <tableColumn id="3" xr3:uid="{070BB7BD-9EA8-406C-BFB0-3480D64BB43C}" name="Project_Title"/>
    <tableColumn id="4" xr3:uid="{B357EB38-09F7-4DD6-84E5-4D9ACB60799D}" name="Thematic_Pillar"/>
    <tableColumn id="5" xr3:uid="{709F6311-D2E2-4C39-ACAA-4E6AAE072348}" name="Revenue_Source_ID"/>
    <tableColumn id="6" xr3:uid="{5B79B9B2-AF8A-4527-97C5-0B90E4D48379}" name="Amount_Allocated_USD"/>
    <tableColumn id="7" xr3:uid="{83923F7F-3730-403F-97A2-C79EB87EA9F0}" name="Allocation_Date" dataDxfId="9"/>
    <tableColumn id="8" xr3:uid="{22A58C03-FF2D-4525-90DD-AF68A21C11FA}" name="Approved_By"/>
    <tableColumn id="9" xr3:uid="{5CC0F92B-DE7C-449D-9CF7-ED57C03A02DF}" name="Last_Updated" dataDxfId="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EDFF55-F129-4826-BB5E-B300725B343A}" name="Table8" displayName="Table8" ref="A3:I23" totalsRowShown="0">
  <autoFilter ref="A3:I23" xr:uid="{07EDFF55-F129-4826-BB5E-B300725B343A}"/>
  <tableColumns count="9">
    <tableColumn id="1" xr3:uid="{BE8F85E7-0923-4958-AFFA-9D5137904AB5}" name="Allocation_ID"/>
    <tableColumn id="2" xr3:uid="{FDCE2991-5745-4EA2-8D9E-14B6055828C0}" name="Project_Code"/>
    <tableColumn id="3" xr3:uid="{CE6F5C4F-2A3F-4B66-8BFF-BF4103A9F662}" name="Project_Title"/>
    <tableColumn id="4" xr3:uid="{456E2CA3-3A57-48CD-B91E-0E178524A8F1}" name="Thematic_Pillar"/>
    <tableColumn id="5" xr3:uid="{598D729F-D021-47B7-A62C-957A371614FD}" name="Revenue_Source_ID"/>
    <tableColumn id="6" xr3:uid="{214E30D3-2246-4E60-AAD8-0C1B6DC22EC5}" name="Amount_Allocated_USD"/>
    <tableColumn id="7" xr3:uid="{38024333-CF99-4D09-9846-E489365E69CE}" name="Allocation_Date" dataDxfId="7"/>
    <tableColumn id="8" xr3:uid="{71C405BB-6B13-4FDD-ACA8-B4282BDC9688}" name="Approved_By"/>
    <tableColumn id="9" xr3:uid="{3D7D7248-0D47-446E-A305-44C93DDAF4DA}" name="Last_Updated" dataDxfId="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F21160-5132-4CF1-854D-C1CCC5A88424}" name="Table9" displayName="Table9" ref="A3:I20" totalsRowShown="0">
  <autoFilter ref="A3:I20" xr:uid="{22F21160-5132-4CF1-854D-C1CCC5A88424}"/>
  <tableColumns count="9">
    <tableColumn id="1" xr3:uid="{30707535-3619-40C2-B433-0EFDFE450407}" name="Allocation_ID"/>
    <tableColumn id="2" xr3:uid="{8E83151E-799C-472D-8ECA-70053FE84714}" name="Project_Code"/>
    <tableColumn id="3" xr3:uid="{69F70DDC-8904-4BB8-854C-71D3277BA254}" name="Project_Title"/>
    <tableColumn id="4" xr3:uid="{FD345A77-E84C-427C-B146-78FCC3D7BED8}" name="Thematic_Pillar"/>
    <tableColumn id="5" xr3:uid="{60A31143-ACAA-490C-9ADB-4CA690C4E6D5}" name="Revenue_Source_ID"/>
    <tableColumn id="6" xr3:uid="{DF93A0A4-AA2D-46E8-9316-BC5A1ADAED72}" name="Amount_Allocated_USD"/>
    <tableColumn id="7" xr3:uid="{A613BEA3-5423-45DD-B4EC-7954FFB8EAF1}" name="Allocation_Date" dataDxfId="5"/>
    <tableColumn id="8" xr3:uid="{E2B8C3DF-A86E-45CA-9344-BDDC610EA9B4}" name="Approved_By"/>
    <tableColumn id="9" xr3:uid="{6428EAC2-6CAC-4BA3-A852-8580B0731AB3}" name="Last_Updated" dataDxfId="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8F00FF-D7AC-43EB-BF23-A26392DC0837}" name="Table10" displayName="Table10" ref="A3:I123" totalsRowShown="0">
  <autoFilter ref="A3:I123" xr:uid="{768F00FF-D7AC-43EB-BF23-A26392DC0837}"/>
  <tableColumns count="9">
    <tableColumn id="1" xr3:uid="{7A896CF1-7E7D-4E2A-9BFF-9996CB63F7D3}" name="Allocation_ID"/>
    <tableColumn id="2" xr3:uid="{69950A82-1164-4368-AF49-C1C42ABBEB4C}" name="Project_Code"/>
    <tableColumn id="3" xr3:uid="{34429320-F174-4836-85D0-53DDCE0370EE}" name="Project_Title"/>
    <tableColumn id="4" xr3:uid="{972D6267-AE24-420F-8C82-3E94B7E3BC30}" name="Thematic_Pillar"/>
    <tableColumn id="5" xr3:uid="{320FA467-A67D-4DFA-965F-E5AADC70AC54}" name="Revenue_Source_ID"/>
    <tableColumn id="6" xr3:uid="{C3435433-64CF-4458-83B7-7B7CB379B78B}" name="Amount_Allocated_USD"/>
    <tableColumn id="7" xr3:uid="{62BF8883-D5AE-42CE-8E74-0A8349DDD685}" name="Allocation_Date" dataDxfId="3"/>
    <tableColumn id="8" xr3:uid="{BDBE41A6-2C2A-4312-8053-356EB5C1D7D2}" name="Approved_By"/>
    <tableColumn id="9" xr3:uid="{47350986-1DA6-4966-B112-3FBAA4891FC9}" name="Last_Updated" dataDxfId="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276529-4B4B-406A-A249-87EF48445931}" name="Table11" displayName="Table11" ref="A3:I23" totalsRowShown="0">
  <autoFilter ref="A3:I23" xr:uid="{64276529-4B4B-406A-A249-87EF48445931}"/>
  <tableColumns count="9">
    <tableColumn id="1" xr3:uid="{EDAB9D76-3868-40D8-A048-124DF07450F5}" name="Allocation_ID"/>
    <tableColumn id="2" xr3:uid="{F71FDC7B-F006-4AD7-A089-89D561256E8D}" name="Project_Code"/>
    <tableColumn id="3" xr3:uid="{D37AB61D-8C64-48F2-AEAE-D1E30A13E1A7}" name="Project_Title"/>
    <tableColumn id="4" xr3:uid="{A0D5648B-0AE7-4BA5-BFED-B7687627A81E}" name="Thematic_Pillar"/>
    <tableColumn id="5" xr3:uid="{071BDDDB-550B-43BE-B243-4E3988599960}" name="Revenue_Source_ID"/>
    <tableColumn id="6" xr3:uid="{43C887AF-D1C8-4A86-9C6E-B0E047690C93}" name="Amount_Allocated_USD"/>
    <tableColumn id="7" xr3:uid="{1D24BFB8-48F9-4D79-94EC-59AC2C87704F}" name="Allocation_Date" dataDxfId="1"/>
    <tableColumn id="8" xr3:uid="{586BF61C-3FFC-4E48-89F5-83416773CB65}" name="Approved_By"/>
    <tableColumn id="9" xr3:uid="{7C835FB4-8E54-44B2-BBAD-5F9E949EDED7}" name="Last_Updat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8651F-7DDD-4F43-82D8-85A50272153F}">
  <sheetPr codeName="Sheet3"/>
  <dimension ref="A1:I13"/>
  <sheetViews>
    <sheetView workbookViewId="0"/>
  </sheetViews>
  <sheetFormatPr defaultRowHeight="14.5" x14ac:dyDescent="0.35"/>
  <sheetData>
    <row r="1" spans="1:9" x14ac:dyDescent="0.35">
      <c r="A1" t="s">
        <v>0</v>
      </c>
      <c r="B1" t="s">
        <v>13</v>
      </c>
      <c r="C1" t="s">
        <v>18</v>
      </c>
      <c r="D1" t="s">
        <v>25</v>
      </c>
      <c r="E1" t="s">
        <v>33</v>
      </c>
      <c r="F1" t="s">
        <v>41</v>
      </c>
      <c r="H1" t="s">
        <v>18</v>
      </c>
      <c r="I1" t="s">
        <v>45</v>
      </c>
    </row>
    <row r="2" spans="1:9" x14ac:dyDescent="0.35">
      <c r="A2" t="s">
        <v>1</v>
      </c>
      <c r="B2" t="s">
        <v>10</v>
      </c>
      <c r="C2" t="s">
        <v>19</v>
      </c>
      <c r="D2" t="s">
        <v>26</v>
      </c>
      <c r="E2" t="s">
        <v>34</v>
      </c>
      <c r="F2" t="s">
        <v>42</v>
      </c>
      <c r="H2" t="s">
        <v>19</v>
      </c>
      <c r="I2">
        <v>1</v>
      </c>
    </row>
    <row r="3" spans="1:9" x14ac:dyDescent="0.35">
      <c r="A3" t="s">
        <v>2</v>
      </c>
      <c r="B3" t="s">
        <v>14</v>
      </c>
      <c r="C3" t="s">
        <v>20</v>
      </c>
      <c r="D3" t="s">
        <v>27</v>
      </c>
      <c r="E3" t="s">
        <v>35</v>
      </c>
      <c r="F3" t="s">
        <v>43</v>
      </c>
      <c r="H3" t="s">
        <v>20</v>
      </c>
      <c r="I3">
        <v>1.08</v>
      </c>
    </row>
    <row r="4" spans="1:9" x14ac:dyDescent="0.35">
      <c r="A4" t="s">
        <v>3</v>
      </c>
      <c r="B4" t="s">
        <v>15</v>
      </c>
      <c r="C4" t="s">
        <v>21</v>
      </c>
      <c r="D4" t="s">
        <v>28</v>
      </c>
      <c r="E4" t="s">
        <v>36</v>
      </c>
      <c r="F4" t="s">
        <v>44</v>
      </c>
      <c r="H4" t="s">
        <v>21</v>
      </c>
      <c r="I4">
        <v>1.27</v>
      </c>
    </row>
    <row r="5" spans="1:9" x14ac:dyDescent="0.35">
      <c r="A5" t="s">
        <v>4</v>
      </c>
      <c r="B5" t="s">
        <v>16</v>
      </c>
      <c r="C5" t="s">
        <v>22</v>
      </c>
      <c r="D5" t="s">
        <v>29</v>
      </c>
      <c r="E5" t="s">
        <v>37</v>
      </c>
      <c r="H5" t="s">
        <v>22</v>
      </c>
      <c r="I5">
        <v>9.5000000000000001E-2</v>
      </c>
    </row>
    <row r="6" spans="1:9" x14ac:dyDescent="0.35">
      <c r="A6" t="s">
        <v>5</v>
      </c>
      <c r="B6" t="s">
        <v>17</v>
      </c>
      <c r="C6" t="s">
        <v>23</v>
      </c>
      <c r="D6" t="s">
        <v>30</v>
      </c>
      <c r="E6" t="s">
        <v>38</v>
      </c>
      <c r="H6" t="s">
        <v>23</v>
      </c>
      <c r="I6">
        <v>1.1399999999999999</v>
      </c>
    </row>
    <row r="7" spans="1:9" x14ac:dyDescent="0.35">
      <c r="A7" t="s">
        <v>6</v>
      </c>
      <c r="B7" t="s">
        <v>12</v>
      </c>
      <c r="C7" t="s">
        <v>24</v>
      </c>
      <c r="D7" t="s">
        <v>31</v>
      </c>
      <c r="E7" t="s">
        <v>39</v>
      </c>
      <c r="H7" t="s">
        <v>24</v>
      </c>
      <c r="I7">
        <v>9.4E-2</v>
      </c>
    </row>
    <row r="8" spans="1:9" x14ac:dyDescent="0.35">
      <c r="A8" t="s">
        <v>7</v>
      </c>
      <c r="D8" t="s">
        <v>32</v>
      </c>
      <c r="E8" t="s">
        <v>40</v>
      </c>
    </row>
    <row r="9" spans="1:9" x14ac:dyDescent="0.35">
      <c r="A9" t="s">
        <v>8</v>
      </c>
    </row>
    <row r="10" spans="1:9" x14ac:dyDescent="0.35">
      <c r="A10" t="s">
        <v>9</v>
      </c>
    </row>
    <row r="11" spans="1:9" x14ac:dyDescent="0.35">
      <c r="A11" t="s">
        <v>10</v>
      </c>
    </row>
    <row r="12" spans="1:9" x14ac:dyDescent="0.35">
      <c r="A12" t="s">
        <v>11</v>
      </c>
    </row>
    <row r="13" spans="1:9" x14ac:dyDescent="0.35">
      <c r="A13"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07A9B-55F0-4E52-81A7-5481444F163D}">
  <sheetPr codeName="Sheet4"/>
  <dimension ref="A1:M86"/>
  <sheetViews>
    <sheetView workbookViewId="0"/>
  </sheetViews>
  <sheetFormatPr defaultRowHeight="14.5" x14ac:dyDescent="0.35"/>
  <cols>
    <col min="1" max="1" width="13.36328125" bestFit="1" customWidth="1"/>
    <col min="2" max="2" width="15.26953125" style="6" customWidth="1"/>
    <col min="3" max="3" width="19.08984375" bestFit="1" customWidth="1"/>
    <col min="4" max="4" width="23.1796875" bestFit="1" customWidth="1"/>
    <col min="5" max="5" width="10.453125" customWidth="1"/>
    <col min="6" max="6" width="16.7265625" style="8" customWidth="1"/>
    <col min="7" max="7" width="15.453125" style="10" customWidth="1"/>
    <col min="8" max="8" width="13.81640625" style="12" customWidth="1"/>
    <col min="9" max="9" width="18.453125" customWidth="1"/>
    <col min="10" max="10" width="16.81640625" customWidth="1"/>
    <col min="11" max="11" width="12.6328125" style="6" customWidth="1"/>
    <col min="12" max="12" width="25.6328125" bestFit="1" customWidth="1"/>
    <col min="13" max="13" width="15.08984375" style="14" bestFit="1" customWidth="1"/>
  </cols>
  <sheetData>
    <row r="1" spans="1:13" x14ac:dyDescent="0.35">
      <c r="A1" s="2" t="s">
        <v>46</v>
      </c>
      <c r="B1" s="5" t="s">
        <v>47</v>
      </c>
      <c r="C1" s="2" t="s">
        <v>48</v>
      </c>
      <c r="D1" s="2" t="s">
        <v>13</v>
      </c>
      <c r="E1" s="2" t="s">
        <v>18</v>
      </c>
      <c r="F1" s="7" t="s">
        <v>49</v>
      </c>
      <c r="G1" s="9" t="s">
        <v>50</v>
      </c>
      <c r="H1" s="11" t="s">
        <v>51</v>
      </c>
      <c r="I1" s="2" t="s">
        <v>52</v>
      </c>
      <c r="J1" s="2" t="s">
        <v>53</v>
      </c>
      <c r="K1" s="5" t="s">
        <v>54</v>
      </c>
      <c r="L1" s="2" t="s">
        <v>55</v>
      </c>
      <c r="M1" s="13" t="s">
        <v>56</v>
      </c>
    </row>
    <row r="2" spans="1:13" x14ac:dyDescent="0.35">
      <c r="A2" t="s">
        <v>57</v>
      </c>
      <c r="B2" s="6">
        <v>45750</v>
      </c>
      <c r="C2" t="s">
        <v>4</v>
      </c>
      <c r="D2" t="s">
        <v>10</v>
      </c>
      <c r="E2" t="s">
        <v>21</v>
      </c>
      <c r="F2" s="8">
        <v>718570</v>
      </c>
      <c r="G2" s="10">
        <f>VLOOKUP(E2,FX_Rates,2,FALSE)</f>
        <v>1.27</v>
      </c>
      <c r="H2" s="12">
        <f>F2*G2</f>
        <v>912583.9</v>
      </c>
      <c r="I2" t="s">
        <v>43</v>
      </c>
      <c r="J2" t="s">
        <v>58</v>
      </c>
      <c r="K2" s="6">
        <v>46846</v>
      </c>
      <c r="L2" t="s">
        <v>59</v>
      </c>
      <c r="M2" s="14">
        <v>46127.974039351851</v>
      </c>
    </row>
    <row r="3" spans="1:13" x14ac:dyDescent="0.35">
      <c r="A3" t="s">
        <v>60</v>
      </c>
      <c r="B3" s="6">
        <v>45831</v>
      </c>
      <c r="C3" t="s">
        <v>11</v>
      </c>
      <c r="D3" t="s">
        <v>14</v>
      </c>
      <c r="E3" t="s">
        <v>20</v>
      </c>
      <c r="F3" s="8">
        <v>260312</v>
      </c>
      <c r="G3" s="10">
        <f>VLOOKUP(E3,FX_Rates,2,FALSE)</f>
        <v>1.08</v>
      </c>
      <c r="H3" s="12">
        <f>F3*G3</f>
        <v>281136.96000000002</v>
      </c>
      <c r="I3" t="s">
        <v>43</v>
      </c>
      <c r="J3" t="s">
        <v>61</v>
      </c>
      <c r="K3" s="6">
        <v>46927</v>
      </c>
      <c r="L3" t="s">
        <v>59</v>
      </c>
      <c r="M3" s="14">
        <v>46127.974039351851</v>
      </c>
    </row>
    <row r="4" spans="1:13" x14ac:dyDescent="0.35">
      <c r="A4" t="s">
        <v>62</v>
      </c>
      <c r="B4" s="6">
        <v>45885</v>
      </c>
      <c r="C4" t="s">
        <v>10</v>
      </c>
      <c r="D4" t="s">
        <v>15</v>
      </c>
      <c r="E4" t="s">
        <v>21</v>
      </c>
      <c r="F4" s="8">
        <v>3037300</v>
      </c>
      <c r="G4" s="10">
        <f>VLOOKUP(E4,FX_Rates,2,FALSE)</f>
        <v>1.27</v>
      </c>
      <c r="H4" s="12">
        <f>F4*G4</f>
        <v>3857371</v>
      </c>
      <c r="I4" t="s">
        <v>44</v>
      </c>
      <c r="J4" t="s">
        <v>63</v>
      </c>
      <c r="K4" s="6">
        <v>46981</v>
      </c>
      <c r="L4" t="s">
        <v>59</v>
      </c>
      <c r="M4" s="14">
        <v>46127.974039351851</v>
      </c>
    </row>
    <row r="5" spans="1:13" x14ac:dyDescent="0.35">
      <c r="A5" t="s">
        <v>64</v>
      </c>
      <c r="B5" s="6">
        <v>45109</v>
      </c>
      <c r="C5" t="s">
        <v>4</v>
      </c>
      <c r="D5" t="s">
        <v>16</v>
      </c>
      <c r="E5" t="s">
        <v>22</v>
      </c>
      <c r="F5" s="8">
        <v>2856872</v>
      </c>
      <c r="G5" s="10">
        <f>VLOOKUP(E5,FX_Rates,2,FALSE)</f>
        <v>9.5000000000000001E-2</v>
      </c>
      <c r="H5" s="12">
        <f>F5*G5</f>
        <v>271402.84000000003</v>
      </c>
      <c r="I5" t="s">
        <v>43</v>
      </c>
      <c r="J5" t="s">
        <v>65</v>
      </c>
      <c r="K5" s="6">
        <v>46570</v>
      </c>
      <c r="L5" t="s">
        <v>59</v>
      </c>
      <c r="M5" s="14">
        <v>46127.974039351851</v>
      </c>
    </row>
    <row r="6" spans="1:13" x14ac:dyDescent="0.35">
      <c r="A6" t="s">
        <v>66</v>
      </c>
      <c r="B6" s="6">
        <v>45690</v>
      </c>
      <c r="C6" t="s">
        <v>6</v>
      </c>
      <c r="D6" t="s">
        <v>16</v>
      </c>
      <c r="E6" t="s">
        <v>20</v>
      </c>
      <c r="F6" s="8">
        <v>367203</v>
      </c>
      <c r="G6" s="10">
        <f>VLOOKUP(E6,FX_Rates,2,FALSE)</f>
        <v>1.08</v>
      </c>
      <c r="H6" s="12">
        <f>F6*G6</f>
        <v>396579.24000000005</v>
      </c>
      <c r="I6" t="s">
        <v>42</v>
      </c>
      <c r="J6" t="s">
        <v>67</v>
      </c>
      <c r="K6" s="6">
        <v>47151</v>
      </c>
      <c r="L6" t="s">
        <v>26</v>
      </c>
      <c r="M6" s="14">
        <v>46127.974039351851</v>
      </c>
    </row>
    <row r="7" spans="1:13" x14ac:dyDescent="0.35">
      <c r="A7" t="s">
        <v>68</v>
      </c>
      <c r="B7" s="6">
        <v>45278</v>
      </c>
      <c r="C7" t="s">
        <v>5</v>
      </c>
      <c r="D7" t="s">
        <v>15</v>
      </c>
      <c r="E7" t="s">
        <v>23</v>
      </c>
      <c r="F7" s="8">
        <v>2940542</v>
      </c>
      <c r="G7" s="10">
        <f>VLOOKUP(E7,FX_Rates,2,FALSE)</f>
        <v>1.1399999999999999</v>
      </c>
      <c r="H7" s="12">
        <f>F7*G7</f>
        <v>3352217.88</v>
      </c>
      <c r="I7" t="s">
        <v>42</v>
      </c>
      <c r="J7" t="s">
        <v>69</v>
      </c>
      <c r="K7" s="6">
        <v>46009</v>
      </c>
      <c r="L7" t="s">
        <v>32</v>
      </c>
      <c r="M7" s="14">
        <v>46127.974039351851</v>
      </c>
    </row>
    <row r="8" spans="1:13" x14ac:dyDescent="0.35">
      <c r="A8" t="s">
        <v>70</v>
      </c>
      <c r="B8" s="6">
        <v>45491</v>
      </c>
      <c r="C8" t="s">
        <v>1</v>
      </c>
      <c r="D8" t="s">
        <v>16</v>
      </c>
      <c r="E8" t="s">
        <v>21</v>
      </c>
      <c r="F8" s="8">
        <v>3802792</v>
      </c>
      <c r="G8" s="10">
        <f>VLOOKUP(E8,FX_Rates,2,FALSE)</f>
        <v>1.27</v>
      </c>
      <c r="H8" s="12">
        <f>F8*G8</f>
        <v>4829545.84</v>
      </c>
      <c r="I8" t="s">
        <v>43</v>
      </c>
      <c r="J8" t="s">
        <v>71</v>
      </c>
      <c r="K8" s="6">
        <v>46952</v>
      </c>
      <c r="L8" t="s">
        <v>59</v>
      </c>
      <c r="M8" s="14">
        <v>46127.974039351851</v>
      </c>
    </row>
    <row r="9" spans="1:13" x14ac:dyDescent="0.35">
      <c r="A9" t="s">
        <v>72</v>
      </c>
      <c r="B9" s="6">
        <v>45099</v>
      </c>
      <c r="C9" t="s">
        <v>4</v>
      </c>
      <c r="D9" t="s">
        <v>14</v>
      </c>
      <c r="E9" t="s">
        <v>23</v>
      </c>
      <c r="F9" s="8">
        <v>1744385</v>
      </c>
      <c r="G9" s="10">
        <f>VLOOKUP(E9,FX_Rates,2,FALSE)</f>
        <v>1.1399999999999999</v>
      </c>
      <c r="H9" s="12">
        <f>F9*G9</f>
        <v>1988598.9</v>
      </c>
      <c r="I9" t="s">
        <v>42</v>
      </c>
      <c r="J9" t="s">
        <v>65</v>
      </c>
      <c r="K9" s="6">
        <v>45830</v>
      </c>
      <c r="L9" t="s">
        <v>31</v>
      </c>
      <c r="M9" s="14">
        <v>46127.974039351851</v>
      </c>
    </row>
    <row r="10" spans="1:13" x14ac:dyDescent="0.35">
      <c r="A10" t="s">
        <v>73</v>
      </c>
      <c r="B10" s="6">
        <v>45936</v>
      </c>
      <c r="C10" t="s">
        <v>1</v>
      </c>
      <c r="D10" t="s">
        <v>15</v>
      </c>
      <c r="E10" t="s">
        <v>22</v>
      </c>
      <c r="F10" s="8">
        <v>376325</v>
      </c>
      <c r="G10" s="10">
        <f>VLOOKUP(E10,FX_Rates,2,FALSE)</f>
        <v>9.5000000000000001E-2</v>
      </c>
      <c r="H10" s="12">
        <f>F10*G10</f>
        <v>35750.875</v>
      </c>
      <c r="I10" t="s">
        <v>44</v>
      </c>
      <c r="J10" t="s">
        <v>74</v>
      </c>
      <c r="K10" s="6">
        <v>46666</v>
      </c>
      <c r="L10" t="s">
        <v>59</v>
      </c>
      <c r="M10" s="14">
        <v>46127.974039351851</v>
      </c>
    </row>
    <row r="11" spans="1:13" x14ac:dyDescent="0.35">
      <c r="A11" t="s">
        <v>75</v>
      </c>
      <c r="B11" s="6">
        <v>45554</v>
      </c>
      <c r="C11" t="s">
        <v>4</v>
      </c>
      <c r="D11" t="s">
        <v>16</v>
      </c>
      <c r="E11" t="s">
        <v>19</v>
      </c>
      <c r="F11" s="8">
        <v>383944</v>
      </c>
      <c r="G11" s="10">
        <f>VLOOKUP(E11,FX_Rates,2,FALSE)</f>
        <v>1</v>
      </c>
      <c r="H11" s="12">
        <f>F11*G11</f>
        <v>383944</v>
      </c>
      <c r="I11" t="s">
        <v>42</v>
      </c>
      <c r="J11" t="s">
        <v>76</v>
      </c>
      <c r="K11" s="6">
        <v>47015</v>
      </c>
      <c r="L11" t="s">
        <v>30</v>
      </c>
      <c r="M11" s="14">
        <v>46127.974039351851</v>
      </c>
    </row>
    <row r="12" spans="1:13" x14ac:dyDescent="0.35">
      <c r="A12" t="s">
        <v>77</v>
      </c>
      <c r="B12" s="6">
        <v>45101</v>
      </c>
      <c r="C12" t="s">
        <v>11</v>
      </c>
      <c r="D12" t="s">
        <v>14</v>
      </c>
      <c r="E12" t="s">
        <v>23</v>
      </c>
      <c r="F12" s="8">
        <v>137880</v>
      </c>
      <c r="G12" s="10">
        <f>VLOOKUP(E12,FX_Rates,2,FALSE)</f>
        <v>1.1399999999999999</v>
      </c>
      <c r="H12" s="12">
        <f>F12*G12</f>
        <v>157183.19999999998</v>
      </c>
      <c r="I12" t="s">
        <v>44</v>
      </c>
      <c r="J12" t="s">
        <v>78</v>
      </c>
      <c r="K12" s="6">
        <v>46562</v>
      </c>
      <c r="L12" t="s">
        <v>59</v>
      </c>
      <c r="M12" s="14">
        <v>46127.974039351851</v>
      </c>
    </row>
    <row r="13" spans="1:13" x14ac:dyDescent="0.35">
      <c r="A13" t="s">
        <v>79</v>
      </c>
      <c r="B13" s="6">
        <v>46040</v>
      </c>
      <c r="C13" t="s">
        <v>6</v>
      </c>
      <c r="D13" t="s">
        <v>14</v>
      </c>
      <c r="E13" t="s">
        <v>21</v>
      </c>
      <c r="F13" s="8">
        <v>3427507</v>
      </c>
      <c r="G13" s="10">
        <f>VLOOKUP(E13,FX_Rates,2,FALSE)</f>
        <v>1.27</v>
      </c>
      <c r="H13" s="12">
        <f>F13*G13</f>
        <v>4352933.8899999997</v>
      </c>
      <c r="I13" t="s">
        <v>42</v>
      </c>
      <c r="J13" t="s">
        <v>80</v>
      </c>
      <c r="K13" s="6">
        <v>47501</v>
      </c>
      <c r="L13" t="s">
        <v>32</v>
      </c>
      <c r="M13" s="14">
        <v>46127.974039351851</v>
      </c>
    </row>
    <row r="14" spans="1:13" x14ac:dyDescent="0.35">
      <c r="A14" t="s">
        <v>81</v>
      </c>
      <c r="B14" s="6">
        <v>45142</v>
      </c>
      <c r="C14" t="s">
        <v>4</v>
      </c>
      <c r="D14" t="s">
        <v>10</v>
      </c>
      <c r="E14" t="s">
        <v>19</v>
      </c>
      <c r="F14" s="8">
        <v>2535601</v>
      </c>
      <c r="G14" s="10">
        <f>VLOOKUP(E14,FX_Rates,2,FALSE)</f>
        <v>1</v>
      </c>
      <c r="H14" s="12">
        <f>F14*G14</f>
        <v>2535601</v>
      </c>
      <c r="I14" t="s">
        <v>43</v>
      </c>
      <c r="J14" t="s">
        <v>65</v>
      </c>
      <c r="K14" s="6">
        <v>45873</v>
      </c>
      <c r="L14" t="s">
        <v>59</v>
      </c>
      <c r="M14" s="14">
        <v>46127.974039351851</v>
      </c>
    </row>
    <row r="15" spans="1:13" x14ac:dyDescent="0.35">
      <c r="A15" t="s">
        <v>82</v>
      </c>
      <c r="B15" s="6">
        <v>45760</v>
      </c>
      <c r="C15" t="s">
        <v>10</v>
      </c>
      <c r="D15" t="s">
        <v>10</v>
      </c>
      <c r="E15" t="s">
        <v>22</v>
      </c>
      <c r="F15" s="8">
        <v>3925499</v>
      </c>
      <c r="G15" s="10">
        <f>VLOOKUP(E15,FX_Rates,2,FALSE)</f>
        <v>9.5000000000000001E-2</v>
      </c>
      <c r="H15" s="12">
        <f>F15*G15</f>
        <v>372922.40500000003</v>
      </c>
      <c r="I15" t="s">
        <v>43</v>
      </c>
      <c r="J15" t="s">
        <v>63</v>
      </c>
      <c r="K15" s="6">
        <v>46856</v>
      </c>
      <c r="L15" t="s">
        <v>59</v>
      </c>
      <c r="M15" s="14">
        <v>46127.974039351851</v>
      </c>
    </row>
    <row r="16" spans="1:13" x14ac:dyDescent="0.35">
      <c r="A16" t="s">
        <v>83</v>
      </c>
      <c r="B16" s="6">
        <v>46007</v>
      </c>
      <c r="C16" t="s">
        <v>3</v>
      </c>
      <c r="D16" t="s">
        <v>15</v>
      </c>
      <c r="E16" t="s">
        <v>21</v>
      </c>
      <c r="F16" s="8">
        <v>1979331</v>
      </c>
      <c r="G16" s="10">
        <f>VLOOKUP(E16,FX_Rates,2,FALSE)</f>
        <v>1.27</v>
      </c>
      <c r="H16" s="12">
        <f>F16*G16</f>
        <v>2513750.37</v>
      </c>
      <c r="I16" t="s">
        <v>44</v>
      </c>
      <c r="J16" t="s">
        <v>84</v>
      </c>
      <c r="K16" s="6">
        <v>46737</v>
      </c>
      <c r="L16" t="s">
        <v>59</v>
      </c>
      <c r="M16" s="14">
        <v>46127.974039351851</v>
      </c>
    </row>
    <row r="17" spans="1:13" x14ac:dyDescent="0.35">
      <c r="A17" t="s">
        <v>85</v>
      </c>
      <c r="B17" s="6">
        <v>45456</v>
      </c>
      <c r="C17" t="s">
        <v>3</v>
      </c>
      <c r="D17" t="s">
        <v>10</v>
      </c>
      <c r="E17" t="s">
        <v>22</v>
      </c>
      <c r="F17" s="8">
        <v>3759997</v>
      </c>
      <c r="G17" s="10">
        <f>VLOOKUP(E17,FX_Rates,2,FALSE)</f>
        <v>9.5000000000000001E-2</v>
      </c>
      <c r="H17" s="12">
        <f>F17*G17</f>
        <v>357199.71500000003</v>
      </c>
      <c r="I17" t="s">
        <v>43</v>
      </c>
      <c r="J17" t="s">
        <v>86</v>
      </c>
      <c r="K17" s="6">
        <v>46186</v>
      </c>
      <c r="L17" t="s">
        <v>59</v>
      </c>
      <c r="M17" s="14">
        <v>46127.974039351851</v>
      </c>
    </row>
    <row r="18" spans="1:13" x14ac:dyDescent="0.35">
      <c r="A18" t="s">
        <v>87</v>
      </c>
      <c r="B18" s="6">
        <v>45065</v>
      </c>
      <c r="C18" t="s">
        <v>1</v>
      </c>
      <c r="D18" t="s">
        <v>16</v>
      </c>
      <c r="E18" t="s">
        <v>21</v>
      </c>
      <c r="F18" s="8">
        <v>2437949</v>
      </c>
      <c r="G18" s="10">
        <f>VLOOKUP(E18,FX_Rates,2,FALSE)</f>
        <v>1.27</v>
      </c>
      <c r="H18" s="12">
        <f>F18*G18</f>
        <v>3096195.23</v>
      </c>
      <c r="I18" t="s">
        <v>43</v>
      </c>
      <c r="J18" t="s">
        <v>88</v>
      </c>
      <c r="K18" s="6">
        <v>46526</v>
      </c>
      <c r="L18" t="s">
        <v>59</v>
      </c>
      <c r="M18" s="14">
        <v>46127.974039351851</v>
      </c>
    </row>
    <row r="19" spans="1:13" x14ac:dyDescent="0.35">
      <c r="A19" t="s">
        <v>89</v>
      </c>
      <c r="B19" s="6">
        <v>45503</v>
      </c>
      <c r="C19" t="s">
        <v>11</v>
      </c>
      <c r="D19" t="s">
        <v>15</v>
      </c>
      <c r="E19" t="s">
        <v>21</v>
      </c>
      <c r="F19" s="8">
        <v>1703370</v>
      </c>
      <c r="G19" s="10">
        <f>VLOOKUP(E19,FX_Rates,2,FALSE)</f>
        <v>1.27</v>
      </c>
      <c r="H19" s="12">
        <f>F19*G19</f>
        <v>2163279.9</v>
      </c>
      <c r="I19" t="s">
        <v>44</v>
      </c>
      <c r="J19" t="s">
        <v>90</v>
      </c>
      <c r="K19" s="6">
        <v>46598</v>
      </c>
      <c r="L19" t="s">
        <v>59</v>
      </c>
      <c r="M19" s="14">
        <v>46127.974039351851</v>
      </c>
    </row>
    <row r="20" spans="1:13" x14ac:dyDescent="0.35">
      <c r="A20" t="s">
        <v>91</v>
      </c>
      <c r="B20" s="6">
        <v>45894</v>
      </c>
      <c r="C20" t="s">
        <v>2</v>
      </c>
      <c r="D20" t="s">
        <v>16</v>
      </c>
      <c r="E20" t="s">
        <v>20</v>
      </c>
      <c r="F20" s="8">
        <v>1986568</v>
      </c>
      <c r="G20" s="10">
        <f>VLOOKUP(E20,FX_Rates,2,FALSE)</f>
        <v>1.08</v>
      </c>
      <c r="H20" s="12">
        <f>F20*G20</f>
        <v>2145493.44</v>
      </c>
      <c r="I20" t="s">
        <v>42</v>
      </c>
      <c r="J20" t="s">
        <v>92</v>
      </c>
      <c r="K20" s="6">
        <v>46624</v>
      </c>
      <c r="L20" t="s">
        <v>32</v>
      </c>
      <c r="M20" s="14">
        <v>46127.974039351851</v>
      </c>
    </row>
    <row r="21" spans="1:13" x14ac:dyDescent="0.35">
      <c r="A21" t="s">
        <v>93</v>
      </c>
      <c r="B21" s="6">
        <v>45924</v>
      </c>
      <c r="C21" t="s">
        <v>5</v>
      </c>
      <c r="D21" t="s">
        <v>14</v>
      </c>
      <c r="E21" t="s">
        <v>22</v>
      </c>
      <c r="F21" s="8">
        <v>552646</v>
      </c>
      <c r="G21" s="10">
        <f>VLOOKUP(E21,FX_Rates,2,FALSE)</f>
        <v>9.5000000000000001E-2</v>
      </c>
      <c r="H21" s="12">
        <f>F21*G21</f>
        <v>52501.37</v>
      </c>
      <c r="I21" t="s">
        <v>42</v>
      </c>
      <c r="J21" t="s">
        <v>94</v>
      </c>
      <c r="K21" s="6">
        <v>47385</v>
      </c>
      <c r="L21" t="s">
        <v>29</v>
      </c>
      <c r="M21" s="14">
        <v>46127.974039351851</v>
      </c>
    </row>
    <row r="22" spans="1:13" x14ac:dyDescent="0.35">
      <c r="A22" t="s">
        <v>95</v>
      </c>
      <c r="B22" s="6">
        <v>45281</v>
      </c>
      <c r="C22" t="s">
        <v>11</v>
      </c>
      <c r="D22" t="s">
        <v>15</v>
      </c>
      <c r="E22" t="s">
        <v>21</v>
      </c>
      <c r="F22" s="8">
        <v>1637425</v>
      </c>
      <c r="G22" s="10">
        <f>VLOOKUP(E22,FX_Rates,2,FALSE)</f>
        <v>1.27</v>
      </c>
      <c r="H22" s="12">
        <f>F22*G22</f>
        <v>2079529.75</v>
      </c>
      <c r="I22" t="s">
        <v>44</v>
      </c>
      <c r="J22" t="s">
        <v>78</v>
      </c>
      <c r="K22" s="6">
        <v>46742</v>
      </c>
      <c r="L22" t="s">
        <v>59</v>
      </c>
      <c r="M22" s="14">
        <v>46127.974039351851</v>
      </c>
    </row>
    <row r="23" spans="1:13" x14ac:dyDescent="0.35">
      <c r="A23" t="s">
        <v>96</v>
      </c>
      <c r="B23" s="6">
        <v>45978</v>
      </c>
      <c r="C23" t="s">
        <v>10</v>
      </c>
      <c r="D23" t="s">
        <v>10</v>
      </c>
      <c r="E23" t="s">
        <v>19</v>
      </c>
      <c r="F23" s="8">
        <v>3789352</v>
      </c>
      <c r="G23" s="10">
        <f>VLOOKUP(E23,FX_Rates,2,FALSE)</f>
        <v>1</v>
      </c>
      <c r="H23" s="12">
        <f>F23*G23</f>
        <v>3789352</v>
      </c>
      <c r="I23" t="s">
        <v>42</v>
      </c>
      <c r="J23" t="s">
        <v>63</v>
      </c>
      <c r="K23" s="6">
        <v>47439</v>
      </c>
      <c r="L23" t="s">
        <v>30</v>
      </c>
      <c r="M23" s="14">
        <v>46127.974039351851</v>
      </c>
    </row>
    <row r="24" spans="1:13" x14ac:dyDescent="0.35">
      <c r="A24" t="s">
        <v>97</v>
      </c>
      <c r="B24" s="6">
        <v>46003</v>
      </c>
      <c r="C24" t="s">
        <v>2</v>
      </c>
      <c r="D24" t="s">
        <v>16</v>
      </c>
      <c r="E24" t="s">
        <v>22</v>
      </c>
      <c r="F24" s="8">
        <v>3854173</v>
      </c>
      <c r="G24" s="10">
        <f>VLOOKUP(E24,FX_Rates,2,FALSE)</f>
        <v>9.5000000000000001E-2</v>
      </c>
      <c r="H24" s="12">
        <f>F24*G24</f>
        <v>366146.435</v>
      </c>
      <c r="I24" t="s">
        <v>43</v>
      </c>
      <c r="J24" t="s">
        <v>92</v>
      </c>
      <c r="K24" s="6">
        <v>47464</v>
      </c>
      <c r="L24" t="s">
        <v>59</v>
      </c>
      <c r="M24" s="14">
        <v>46127.974039351851</v>
      </c>
    </row>
    <row r="25" spans="1:13" x14ac:dyDescent="0.35">
      <c r="A25" t="s">
        <v>98</v>
      </c>
      <c r="B25" s="6">
        <v>45060</v>
      </c>
      <c r="C25" t="s">
        <v>5</v>
      </c>
      <c r="D25" t="s">
        <v>10</v>
      </c>
      <c r="E25" t="s">
        <v>20</v>
      </c>
      <c r="F25" s="8">
        <v>2635777</v>
      </c>
      <c r="G25" s="10">
        <f>VLOOKUP(E25,FX_Rates,2,FALSE)</f>
        <v>1.08</v>
      </c>
      <c r="H25" s="12">
        <f>F25*G25</f>
        <v>2846639.16</v>
      </c>
      <c r="I25" t="s">
        <v>42</v>
      </c>
      <c r="J25" t="s">
        <v>69</v>
      </c>
      <c r="K25" s="6">
        <v>45791</v>
      </c>
      <c r="L25" t="s">
        <v>32</v>
      </c>
      <c r="M25" s="14">
        <v>46127.974039351851</v>
      </c>
    </row>
    <row r="26" spans="1:13" x14ac:dyDescent="0.35">
      <c r="A26" t="s">
        <v>99</v>
      </c>
      <c r="B26" s="6">
        <v>45288</v>
      </c>
      <c r="C26" t="s">
        <v>5</v>
      </c>
      <c r="D26" t="s">
        <v>14</v>
      </c>
      <c r="E26" t="s">
        <v>21</v>
      </c>
      <c r="F26" s="8">
        <v>116334</v>
      </c>
      <c r="G26" s="10">
        <f>VLOOKUP(E26,FX_Rates,2,FALSE)</f>
        <v>1.27</v>
      </c>
      <c r="H26" s="12">
        <f>F26*G26</f>
        <v>147744.18</v>
      </c>
      <c r="I26" t="s">
        <v>43</v>
      </c>
      <c r="J26" t="s">
        <v>69</v>
      </c>
      <c r="K26" s="6">
        <v>46749</v>
      </c>
      <c r="L26" t="s">
        <v>59</v>
      </c>
      <c r="M26" s="14">
        <v>46127.974039351851</v>
      </c>
    </row>
    <row r="27" spans="1:13" x14ac:dyDescent="0.35">
      <c r="A27" t="s">
        <v>100</v>
      </c>
      <c r="B27" s="6">
        <v>45292</v>
      </c>
      <c r="C27" t="s">
        <v>11</v>
      </c>
      <c r="D27" t="s">
        <v>15</v>
      </c>
      <c r="E27" t="s">
        <v>19</v>
      </c>
      <c r="F27" s="8">
        <v>1611843</v>
      </c>
      <c r="G27" s="10">
        <f>VLOOKUP(E27,FX_Rates,2,FALSE)</f>
        <v>1</v>
      </c>
      <c r="H27" s="12">
        <f>F27*G27</f>
        <v>1611843</v>
      </c>
      <c r="I27" t="s">
        <v>43</v>
      </c>
      <c r="J27" t="s">
        <v>90</v>
      </c>
      <c r="K27" s="6">
        <v>46388</v>
      </c>
      <c r="L27" t="s">
        <v>59</v>
      </c>
      <c r="M27" s="14">
        <v>46127.974039351851</v>
      </c>
    </row>
    <row r="28" spans="1:13" x14ac:dyDescent="0.35">
      <c r="A28" t="s">
        <v>101</v>
      </c>
      <c r="B28" s="6">
        <v>45983</v>
      </c>
      <c r="C28" t="s">
        <v>4</v>
      </c>
      <c r="D28" t="s">
        <v>16</v>
      </c>
      <c r="E28" t="s">
        <v>20</v>
      </c>
      <c r="F28" s="8">
        <v>3624380</v>
      </c>
      <c r="G28" s="10">
        <f>VLOOKUP(E28,FX_Rates,2,FALSE)</f>
        <v>1.08</v>
      </c>
      <c r="H28" s="12">
        <f>F28*G28</f>
        <v>3914330.4000000004</v>
      </c>
      <c r="I28" t="s">
        <v>44</v>
      </c>
      <c r="J28" t="s">
        <v>58</v>
      </c>
      <c r="K28" s="6">
        <v>47444</v>
      </c>
      <c r="L28" t="s">
        <v>59</v>
      </c>
      <c r="M28" s="14">
        <v>46127.974039351851</v>
      </c>
    </row>
    <row r="29" spans="1:13" x14ac:dyDescent="0.35">
      <c r="A29" t="s">
        <v>102</v>
      </c>
      <c r="B29" s="6">
        <v>46047</v>
      </c>
      <c r="C29" t="s">
        <v>1</v>
      </c>
      <c r="D29" t="s">
        <v>15</v>
      </c>
      <c r="E29" t="s">
        <v>21</v>
      </c>
      <c r="F29" s="8">
        <v>3921743</v>
      </c>
      <c r="G29" s="10">
        <f>VLOOKUP(E29,FX_Rates,2,FALSE)</f>
        <v>1.27</v>
      </c>
      <c r="H29" s="12">
        <f>F29*G29</f>
        <v>4980613.6100000003</v>
      </c>
      <c r="I29" t="s">
        <v>43</v>
      </c>
      <c r="J29" t="s">
        <v>103</v>
      </c>
      <c r="K29" s="6">
        <v>47508</v>
      </c>
      <c r="L29" t="s">
        <v>59</v>
      </c>
      <c r="M29" s="14">
        <v>46127.974039351851</v>
      </c>
    </row>
    <row r="30" spans="1:13" x14ac:dyDescent="0.35">
      <c r="A30" t="s">
        <v>104</v>
      </c>
      <c r="B30" s="6">
        <v>45242</v>
      </c>
      <c r="C30" t="s">
        <v>3</v>
      </c>
      <c r="D30" t="s">
        <v>15</v>
      </c>
      <c r="E30" t="s">
        <v>20</v>
      </c>
      <c r="F30" s="8">
        <v>1270430</v>
      </c>
      <c r="G30" s="10">
        <f>VLOOKUP(E30,FX_Rates,2,FALSE)</f>
        <v>1.08</v>
      </c>
      <c r="H30" s="12">
        <f>F30*G30</f>
        <v>1372064.4000000001</v>
      </c>
      <c r="I30" t="s">
        <v>44</v>
      </c>
      <c r="J30" t="s">
        <v>105</v>
      </c>
      <c r="K30" s="6">
        <v>46338</v>
      </c>
      <c r="L30" t="s">
        <v>59</v>
      </c>
      <c r="M30" s="14">
        <v>46127.974039351851</v>
      </c>
    </row>
    <row r="31" spans="1:13" x14ac:dyDescent="0.35">
      <c r="A31" t="s">
        <v>106</v>
      </c>
      <c r="B31" s="6">
        <v>45572</v>
      </c>
      <c r="C31" t="s">
        <v>10</v>
      </c>
      <c r="D31" t="s">
        <v>16</v>
      </c>
      <c r="E31" t="s">
        <v>23</v>
      </c>
      <c r="F31" s="8">
        <v>1146328</v>
      </c>
      <c r="G31" s="10">
        <f>VLOOKUP(E31,FX_Rates,2,FALSE)</f>
        <v>1.1399999999999999</v>
      </c>
      <c r="H31" s="12">
        <f>F31*G31</f>
        <v>1306813.92</v>
      </c>
      <c r="I31" t="s">
        <v>42</v>
      </c>
      <c r="J31" t="s">
        <v>107</v>
      </c>
      <c r="K31" s="6">
        <v>46667</v>
      </c>
      <c r="L31" t="s">
        <v>30</v>
      </c>
      <c r="M31" s="14">
        <v>46127.974039351851</v>
      </c>
    </row>
    <row r="32" spans="1:13" x14ac:dyDescent="0.35">
      <c r="A32" t="s">
        <v>108</v>
      </c>
      <c r="B32" s="6">
        <v>45037</v>
      </c>
      <c r="C32" t="s">
        <v>3</v>
      </c>
      <c r="D32" t="s">
        <v>14</v>
      </c>
      <c r="E32" t="s">
        <v>23</v>
      </c>
      <c r="F32" s="8">
        <v>3999583</v>
      </c>
      <c r="G32" s="10">
        <f>VLOOKUP(E32,FX_Rates,2,FALSE)</f>
        <v>1.1399999999999999</v>
      </c>
      <c r="H32" s="12">
        <f>F32*G32</f>
        <v>4559524.6199999992</v>
      </c>
      <c r="I32" t="s">
        <v>44</v>
      </c>
      <c r="J32" t="s">
        <v>105</v>
      </c>
      <c r="K32" s="6">
        <v>46133</v>
      </c>
      <c r="L32" t="s">
        <v>59</v>
      </c>
      <c r="M32" s="14">
        <v>46127.974039351851</v>
      </c>
    </row>
    <row r="33" spans="1:13" x14ac:dyDescent="0.35">
      <c r="A33" t="s">
        <v>109</v>
      </c>
      <c r="B33" s="6">
        <v>45977</v>
      </c>
      <c r="C33" t="s">
        <v>5</v>
      </c>
      <c r="D33" t="s">
        <v>14</v>
      </c>
      <c r="E33" t="s">
        <v>21</v>
      </c>
      <c r="F33" s="8">
        <v>2467429</v>
      </c>
      <c r="G33" s="10">
        <f>VLOOKUP(E33,FX_Rates,2,FALSE)</f>
        <v>1.27</v>
      </c>
      <c r="H33" s="12">
        <f>F33*G33</f>
        <v>3133634.83</v>
      </c>
      <c r="I33" t="s">
        <v>44</v>
      </c>
      <c r="J33" t="s">
        <v>94</v>
      </c>
      <c r="K33" s="6">
        <v>46707</v>
      </c>
      <c r="L33" t="s">
        <v>59</v>
      </c>
      <c r="M33" s="14">
        <v>46127.974039351851</v>
      </c>
    </row>
    <row r="34" spans="1:13" x14ac:dyDescent="0.35">
      <c r="A34" t="s">
        <v>110</v>
      </c>
      <c r="B34" s="6">
        <v>45322</v>
      </c>
      <c r="C34" t="s">
        <v>3</v>
      </c>
      <c r="D34" t="s">
        <v>15</v>
      </c>
      <c r="E34" t="s">
        <v>21</v>
      </c>
      <c r="F34" s="8">
        <v>3686870</v>
      </c>
      <c r="G34" s="10">
        <f>VLOOKUP(E34,FX_Rates,2,FALSE)</f>
        <v>1.27</v>
      </c>
      <c r="H34" s="12">
        <f>F34*G34</f>
        <v>4682324.9000000004</v>
      </c>
      <c r="I34" t="s">
        <v>44</v>
      </c>
      <c r="J34" t="s">
        <v>86</v>
      </c>
      <c r="K34" s="6">
        <v>46053</v>
      </c>
      <c r="L34" t="s">
        <v>59</v>
      </c>
      <c r="M34" s="14">
        <v>46127.974039351851</v>
      </c>
    </row>
    <row r="35" spans="1:13" x14ac:dyDescent="0.35">
      <c r="A35" t="s">
        <v>111</v>
      </c>
      <c r="B35" s="6">
        <v>45546</v>
      </c>
      <c r="C35" t="s">
        <v>3</v>
      </c>
      <c r="D35" t="s">
        <v>15</v>
      </c>
      <c r="E35" t="s">
        <v>19</v>
      </c>
      <c r="F35" s="8">
        <v>893204</v>
      </c>
      <c r="G35" s="10">
        <f>VLOOKUP(E35,FX_Rates,2,FALSE)</f>
        <v>1</v>
      </c>
      <c r="H35" s="12">
        <f>F35*G35</f>
        <v>893204</v>
      </c>
      <c r="I35" t="s">
        <v>42</v>
      </c>
      <c r="J35" t="s">
        <v>86</v>
      </c>
      <c r="K35" s="6">
        <v>46641</v>
      </c>
      <c r="L35" t="s">
        <v>26</v>
      </c>
      <c r="M35" s="14">
        <v>46127.974039351851</v>
      </c>
    </row>
    <row r="36" spans="1:13" x14ac:dyDescent="0.35">
      <c r="A36" t="s">
        <v>112</v>
      </c>
      <c r="B36" s="6">
        <v>46080</v>
      </c>
      <c r="C36" t="s">
        <v>10</v>
      </c>
      <c r="D36" t="s">
        <v>10</v>
      </c>
      <c r="E36" t="s">
        <v>22</v>
      </c>
      <c r="F36" s="8">
        <v>1654831</v>
      </c>
      <c r="G36" s="10">
        <f>VLOOKUP(E36,FX_Rates,2,FALSE)</f>
        <v>9.5000000000000001E-2</v>
      </c>
      <c r="H36" s="12">
        <f>F36*G36</f>
        <v>157208.94500000001</v>
      </c>
      <c r="I36" t="s">
        <v>44</v>
      </c>
      <c r="J36" t="s">
        <v>113</v>
      </c>
      <c r="K36" s="6">
        <v>46810</v>
      </c>
      <c r="L36" t="s">
        <v>59</v>
      </c>
      <c r="M36" s="14">
        <v>46127.974039351851</v>
      </c>
    </row>
    <row r="37" spans="1:13" x14ac:dyDescent="0.35">
      <c r="A37" t="s">
        <v>114</v>
      </c>
      <c r="B37" s="6">
        <v>45832</v>
      </c>
      <c r="C37" t="s">
        <v>5</v>
      </c>
      <c r="D37" t="s">
        <v>16</v>
      </c>
      <c r="E37" t="s">
        <v>21</v>
      </c>
      <c r="F37" s="8">
        <v>536750</v>
      </c>
      <c r="G37" s="10">
        <f>VLOOKUP(E37,FX_Rates,2,FALSE)</f>
        <v>1.27</v>
      </c>
      <c r="H37" s="12">
        <f>F37*G37</f>
        <v>681672.5</v>
      </c>
      <c r="I37" t="s">
        <v>44</v>
      </c>
      <c r="J37" t="s">
        <v>94</v>
      </c>
      <c r="K37" s="6">
        <v>47293</v>
      </c>
      <c r="L37" t="s">
        <v>59</v>
      </c>
      <c r="M37" s="14">
        <v>46127.974039351851</v>
      </c>
    </row>
    <row r="38" spans="1:13" x14ac:dyDescent="0.35">
      <c r="A38" t="s">
        <v>115</v>
      </c>
      <c r="B38" s="6">
        <v>45920</v>
      </c>
      <c r="C38" t="s">
        <v>6</v>
      </c>
      <c r="D38" t="s">
        <v>16</v>
      </c>
      <c r="E38" t="s">
        <v>22</v>
      </c>
      <c r="F38" s="8">
        <v>2956719</v>
      </c>
      <c r="G38" s="10">
        <f>VLOOKUP(E38,FX_Rates,2,FALSE)</f>
        <v>9.5000000000000001E-2</v>
      </c>
      <c r="H38" s="12">
        <f>F38*G38</f>
        <v>280888.30499999999</v>
      </c>
      <c r="I38" t="s">
        <v>44</v>
      </c>
      <c r="J38" t="s">
        <v>67</v>
      </c>
      <c r="K38" s="6">
        <v>47016</v>
      </c>
      <c r="L38" t="s">
        <v>59</v>
      </c>
      <c r="M38" s="14">
        <v>46127.974039351851</v>
      </c>
    </row>
    <row r="39" spans="1:13" x14ac:dyDescent="0.35">
      <c r="A39" t="s">
        <v>116</v>
      </c>
      <c r="B39" s="6">
        <v>46013</v>
      </c>
      <c r="C39" t="s">
        <v>11</v>
      </c>
      <c r="D39" t="s">
        <v>16</v>
      </c>
      <c r="E39" t="s">
        <v>23</v>
      </c>
      <c r="F39" s="8">
        <v>854857</v>
      </c>
      <c r="G39" s="10">
        <f>VLOOKUP(E39,FX_Rates,2,FALSE)</f>
        <v>1.1399999999999999</v>
      </c>
      <c r="H39" s="12">
        <f>F39*G39</f>
        <v>974536.97999999986</v>
      </c>
      <c r="I39" t="s">
        <v>43</v>
      </c>
      <c r="J39" t="s">
        <v>61</v>
      </c>
      <c r="K39" s="6">
        <v>47109</v>
      </c>
      <c r="L39" t="s">
        <v>59</v>
      </c>
      <c r="M39" s="14">
        <v>46127.974039351851</v>
      </c>
    </row>
    <row r="40" spans="1:13" x14ac:dyDescent="0.35">
      <c r="A40" t="s">
        <v>117</v>
      </c>
      <c r="B40" s="6">
        <v>45386</v>
      </c>
      <c r="C40" t="s">
        <v>6</v>
      </c>
      <c r="D40" t="s">
        <v>16</v>
      </c>
      <c r="E40" t="s">
        <v>19</v>
      </c>
      <c r="F40" s="8">
        <v>134092</v>
      </c>
      <c r="G40" s="10">
        <f>VLOOKUP(E40,FX_Rates,2,FALSE)</f>
        <v>1</v>
      </c>
      <c r="H40" s="12">
        <f>F40*G40</f>
        <v>134092</v>
      </c>
      <c r="I40" t="s">
        <v>43</v>
      </c>
      <c r="J40" t="s">
        <v>118</v>
      </c>
      <c r="K40" s="6">
        <v>46481</v>
      </c>
      <c r="L40" t="s">
        <v>59</v>
      </c>
      <c r="M40" s="14">
        <v>46127.974039351851</v>
      </c>
    </row>
    <row r="41" spans="1:13" x14ac:dyDescent="0.35">
      <c r="A41" t="s">
        <v>119</v>
      </c>
      <c r="B41" s="6">
        <v>45945</v>
      </c>
      <c r="C41" t="s">
        <v>11</v>
      </c>
      <c r="D41" t="s">
        <v>10</v>
      </c>
      <c r="E41" t="s">
        <v>21</v>
      </c>
      <c r="F41" s="8">
        <v>1663155</v>
      </c>
      <c r="G41" s="10">
        <f>VLOOKUP(E41,FX_Rates,2,FALSE)</f>
        <v>1.27</v>
      </c>
      <c r="H41" s="12">
        <f>F41*G41</f>
        <v>2112206.85</v>
      </c>
      <c r="I41" t="s">
        <v>42</v>
      </c>
      <c r="J41" t="s">
        <v>61</v>
      </c>
      <c r="K41" s="6">
        <v>46675</v>
      </c>
      <c r="L41" t="s">
        <v>32</v>
      </c>
      <c r="M41" s="14">
        <v>46127.974039351851</v>
      </c>
    </row>
    <row r="42" spans="1:13" x14ac:dyDescent="0.35">
      <c r="A42" t="s">
        <v>120</v>
      </c>
      <c r="B42" s="6">
        <v>45367</v>
      </c>
      <c r="C42" t="s">
        <v>5</v>
      </c>
      <c r="D42" t="s">
        <v>16</v>
      </c>
      <c r="E42" t="s">
        <v>22</v>
      </c>
      <c r="F42" s="8">
        <v>2487447</v>
      </c>
      <c r="G42" s="10">
        <f>VLOOKUP(E42,FX_Rates,2,FALSE)</f>
        <v>9.5000000000000001E-2</v>
      </c>
      <c r="H42" s="12">
        <f>F42*G42</f>
        <v>236307.465</v>
      </c>
      <c r="I42" t="s">
        <v>43</v>
      </c>
      <c r="J42" t="s">
        <v>121</v>
      </c>
      <c r="K42" s="6">
        <v>46097</v>
      </c>
      <c r="L42" t="s">
        <v>59</v>
      </c>
      <c r="M42" s="14">
        <v>46127.974039351851</v>
      </c>
    </row>
    <row r="43" spans="1:13" x14ac:dyDescent="0.35">
      <c r="A43" t="s">
        <v>122</v>
      </c>
      <c r="B43" s="6">
        <v>45161</v>
      </c>
      <c r="C43" t="s">
        <v>10</v>
      </c>
      <c r="D43" t="s">
        <v>16</v>
      </c>
      <c r="E43" t="s">
        <v>23</v>
      </c>
      <c r="F43" s="8">
        <v>3393195</v>
      </c>
      <c r="G43" s="10">
        <f>VLOOKUP(E43,FX_Rates,2,FALSE)</f>
        <v>1.1399999999999999</v>
      </c>
      <c r="H43" s="12">
        <f>F43*G43</f>
        <v>3868242.3</v>
      </c>
      <c r="I43" t="s">
        <v>43</v>
      </c>
      <c r="J43" t="s">
        <v>123</v>
      </c>
      <c r="K43" s="6">
        <v>45892</v>
      </c>
      <c r="L43" t="s">
        <v>59</v>
      </c>
      <c r="M43" s="14">
        <v>46127.974039351851</v>
      </c>
    </row>
    <row r="44" spans="1:13" x14ac:dyDescent="0.35">
      <c r="A44" t="s">
        <v>124</v>
      </c>
      <c r="B44" s="6">
        <v>46056</v>
      </c>
      <c r="C44" t="s">
        <v>10</v>
      </c>
      <c r="D44" t="s">
        <v>15</v>
      </c>
      <c r="E44" t="s">
        <v>22</v>
      </c>
      <c r="F44" s="8">
        <v>243936</v>
      </c>
      <c r="G44" s="10">
        <f>VLOOKUP(E44,FX_Rates,2,FALSE)</f>
        <v>9.5000000000000001E-2</v>
      </c>
      <c r="H44" s="12">
        <f>F44*G44</f>
        <v>23173.920000000002</v>
      </c>
      <c r="I44" t="s">
        <v>44</v>
      </c>
      <c r="J44" t="s">
        <v>113</v>
      </c>
      <c r="K44" s="6">
        <v>46786</v>
      </c>
      <c r="L44" t="s">
        <v>59</v>
      </c>
      <c r="M44" s="14">
        <v>46127.974039351851</v>
      </c>
    </row>
    <row r="45" spans="1:13" x14ac:dyDescent="0.35">
      <c r="A45" t="s">
        <v>125</v>
      </c>
      <c r="B45" s="6">
        <v>45574</v>
      </c>
      <c r="C45" t="s">
        <v>4</v>
      </c>
      <c r="D45" t="s">
        <v>16</v>
      </c>
      <c r="E45" t="s">
        <v>19</v>
      </c>
      <c r="F45" s="8">
        <v>2586108</v>
      </c>
      <c r="G45" s="10">
        <f>VLOOKUP(E45,FX_Rates,2,FALSE)</f>
        <v>1</v>
      </c>
      <c r="H45" s="12">
        <f>F45*G45</f>
        <v>2586108</v>
      </c>
      <c r="I45" t="s">
        <v>44</v>
      </c>
      <c r="J45" t="s">
        <v>76</v>
      </c>
      <c r="K45" s="6">
        <v>46304</v>
      </c>
      <c r="L45" t="s">
        <v>59</v>
      </c>
      <c r="M45" s="14">
        <v>46127.974039351851</v>
      </c>
    </row>
    <row r="46" spans="1:13" x14ac:dyDescent="0.35">
      <c r="A46" t="s">
        <v>126</v>
      </c>
      <c r="B46" s="6">
        <v>45045</v>
      </c>
      <c r="C46" t="s">
        <v>1</v>
      </c>
      <c r="D46" t="s">
        <v>10</v>
      </c>
      <c r="E46" t="s">
        <v>21</v>
      </c>
      <c r="F46" s="8">
        <v>1315432</v>
      </c>
      <c r="G46" s="10">
        <f>VLOOKUP(E46,FX_Rates,2,FALSE)</f>
        <v>1.27</v>
      </c>
      <c r="H46" s="12">
        <f>F46*G46</f>
        <v>1670598.6400000001</v>
      </c>
      <c r="I46" t="s">
        <v>43</v>
      </c>
      <c r="J46" t="s">
        <v>88</v>
      </c>
      <c r="K46" s="6">
        <v>46141</v>
      </c>
      <c r="L46" t="s">
        <v>59</v>
      </c>
      <c r="M46" s="14">
        <v>46127.974039351851</v>
      </c>
    </row>
    <row r="47" spans="1:13" x14ac:dyDescent="0.35">
      <c r="A47" t="s">
        <v>127</v>
      </c>
      <c r="B47" s="6">
        <v>45675</v>
      </c>
      <c r="C47" t="s">
        <v>1</v>
      </c>
      <c r="D47" t="s">
        <v>14</v>
      </c>
      <c r="E47" t="s">
        <v>20</v>
      </c>
      <c r="F47" s="8">
        <v>1298065</v>
      </c>
      <c r="G47" s="10">
        <f>VLOOKUP(E47,FX_Rates,2,FALSE)</f>
        <v>1.08</v>
      </c>
      <c r="H47" s="12">
        <f>F47*G47</f>
        <v>1401910.2000000002</v>
      </c>
      <c r="I47" t="s">
        <v>44</v>
      </c>
      <c r="J47" t="s">
        <v>74</v>
      </c>
      <c r="K47" s="6">
        <v>46770</v>
      </c>
      <c r="L47" t="s">
        <v>59</v>
      </c>
      <c r="M47" s="14">
        <v>46127.974039351851</v>
      </c>
    </row>
    <row r="48" spans="1:13" x14ac:dyDescent="0.35">
      <c r="A48" t="s">
        <v>128</v>
      </c>
      <c r="B48" s="6">
        <v>46024</v>
      </c>
      <c r="C48" t="s">
        <v>11</v>
      </c>
      <c r="D48" t="s">
        <v>16</v>
      </c>
      <c r="E48" t="s">
        <v>22</v>
      </c>
      <c r="F48" s="8">
        <v>203673</v>
      </c>
      <c r="G48" s="10">
        <f>VLOOKUP(E48,FX_Rates,2,FALSE)</f>
        <v>9.5000000000000001E-2</v>
      </c>
      <c r="H48" s="12">
        <f>F48*G48</f>
        <v>19348.935000000001</v>
      </c>
      <c r="I48" t="s">
        <v>43</v>
      </c>
      <c r="J48" t="s">
        <v>129</v>
      </c>
      <c r="K48" s="6">
        <v>46754</v>
      </c>
      <c r="L48" t="s">
        <v>59</v>
      </c>
      <c r="M48" s="14">
        <v>46127.974039351851</v>
      </c>
    </row>
    <row r="49" spans="1:13" x14ac:dyDescent="0.35">
      <c r="A49" t="s">
        <v>130</v>
      </c>
      <c r="B49" s="6">
        <v>45487</v>
      </c>
      <c r="C49" t="s">
        <v>10</v>
      </c>
      <c r="D49" t="s">
        <v>10</v>
      </c>
      <c r="E49" t="s">
        <v>19</v>
      </c>
      <c r="F49" s="8">
        <v>3403126</v>
      </c>
      <c r="G49" s="10">
        <f>VLOOKUP(E49,FX_Rates,2,FALSE)</f>
        <v>1</v>
      </c>
      <c r="H49" s="12">
        <f>F49*G49</f>
        <v>3403126</v>
      </c>
      <c r="I49" t="s">
        <v>44</v>
      </c>
      <c r="J49" t="s">
        <v>107</v>
      </c>
      <c r="K49" s="6">
        <v>46948</v>
      </c>
      <c r="L49" t="s">
        <v>59</v>
      </c>
      <c r="M49" s="14">
        <v>46127.974039351851</v>
      </c>
    </row>
    <row r="50" spans="1:13" x14ac:dyDescent="0.35">
      <c r="A50" t="s">
        <v>131</v>
      </c>
      <c r="B50" s="6">
        <v>45473</v>
      </c>
      <c r="C50" t="s">
        <v>5</v>
      </c>
      <c r="D50" t="s">
        <v>14</v>
      </c>
      <c r="E50" t="s">
        <v>20</v>
      </c>
      <c r="F50" s="8">
        <v>2918456</v>
      </c>
      <c r="G50" s="10">
        <f>VLOOKUP(E50,FX_Rates,2,FALSE)</f>
        <v>1.08</v>
      </c>
      <c r="H50" s="12">
        <f>F50*G50</f>
        <v>3151932.48</v>
      </c>
      <c r="I50" t="s">
        <v>44</v>
      </c>
      <c r="J50" t="s">
        <v>121</v>
      </c>
      <c r="K50" s="6">
        <v>46934</v>
      </c>
      <c r="L50" t="s">
        <v>59</v>
      </c>
      <c r="M50" s="14">
        <v>46127.974039351851</v>
      </c>
    </row>
    <row r="51" spans="1:13" x14ac:dyDescent="0.35">
      <c r="A51" t="s">
        <v>132</v>
      </c>
      <c r="B51" s="6">
        <v>45135</v>
      </c>
      <c r="C51" t="s">
        <v>5</v>
      </c>
      <c r="D51" t="s">
        <v>16</v>
      </c>
      <c r="E51" t="s">
        <v>19</v>
      </c>
      <c r="F51" s="8">
        <v>1168191</v>
      </c>
      <c r="G51" s="10">
        <f>VLOOKUP(E51,FX_Rates,2,FALSE)</f>
        <v>1</v>
      </c>
      <c r="H51" s="12">
        <f>F51*G51</f>
        <v>1168191</v>
      </c>
      <c r="I51" t="s">
        <v>42</v>
      </c>
      <c r="J51" t="s">
        <v>69</v>
      </c>
      <c r="K51" s="6">
        <v>45866</v>
      </c>
      <c r="L51" t="s">
        <v>32</v>
      </c>
      <c r="M51" s="14">
        <v>46127.974039351851</v>
      </c>
    </row>
    <row r="52" spans="1:13" x14ac:dyDescent="0.35">
      <c r="A52" t="s">
        <v>133</v>
      </c>
      <c r="B52" s="6">
        <v>45495</v>
      </c>
      <c r="C52" t="s">
        <v>10</v>
      </c>
      <c r="D52" t="s">
        <v>14</v>
      </c>
      <c r="E52" t="s">
        <v>19</v>
      </c>
      <c r="F52" s="8">
        <v>2017002</v>
      </c>
      <c r="G52" s="10">
        <f>VLOOKUP(E52,FX_Rates,2,FALSE)</f>
        <v>1</v>
      </c>
      <c r="H52" s="12">
        <f>F52*G52</f>
        <v>2017002</v>
      </c>
      <c r="I52" t="s">
        <v>44</v>
      </c>
      <c r="J52" t="s">
        <v>107</v>
      </c>
      <c r="K52" s="6">
        <v>46590</v>
      </c>
      <c r="L52" t="s">
        <v>59</v>
      </c>
      <c r="M52" s="14">
        <v>46127.974039351851</v>
      </c>
    </row>
    <row r="53" spans="1:13" x14ac:dyDescent="0.35">
      <c r="A53" t="s">
        <v>134</v>
      </c>
      <c r="B53" s="6">
        <v>45891</v>
      </c>
      <c r="C53" t="s">
        <v>5</v>
      </c>
      <c r="D53" t="s">
        <v>15</v>
      </c>
      <c r="E53" t="s">
        <v>22</v>
      </c>
      <c r="F53" s="8">
        <v>4074810</v>
      </c>
      <c r="G53" s="10">
        <f>VLOOKUP(E53,FX_Rates,2,FALSE)</f>
        <v>9.5000000000000001E-2</v>
      </c>
      <c r="H53" s="12">
        <f>F53*G53</f>
        <v>387106.95</v>
      </c>
      <c r="I53" t="s">
        <v>42</v>
      </c>
      <c r="J53" t="s">
        <v>94</v>
      </c>
      <c r="K53" s="6">
        <v>46621</v>
      </c>
      <c r="L53" t="s">
        <v>32</v>
      </c>
      <c r="M53" s="14">
        <v>46127.974039351851</v>
      </c>
    </row>
    <row r="54" spans="1:13" x14ac:dyDescent="0.35">
      <c r="A54" t="s">
        <v>135</v>
      </c>
      <c r="B54" s="6">
        <v>45395</v>
      </c>
      <c r="C54" t="s">
        <v>3</v>
      </c>
      <c r="D54" t="s">
        <v>10</v>
      </c>
      <c r="E54" t="s">
        <v>23</v>
      </c>
      <c r="F54" s="8">
        <v>1028210</v>
      </c>
      <c r="G54" s="10">
        <f>VLOOKUP(E54,FX_Rates,2,FALSE)</f>
        <v>1.1399999999999999</v>
      </c>
      <c r="H54" s="12">
        <f>F54*G54</f>
        <v>1172159.3999999999</v>
      </c>
      <c r="I54" t="s">
        <v>44</v>
      </c>
      <c r="J54" t="s">
        <v>86</v>
      </c>
      <c r="K54" s="6">
        <v>46125</v>
      </c>
      <c r="L54" t="s">
        <v>59</v>
      </c>
      <c r="M54" s="14">
        <v>46127.974039351851</v>
      </c>
    </row>
    <row r="55" spans="1:13" x14ac:dyDescent="0.35">
      <c r="A55" t="s">
        <v>136</v>
      </c>
      <c r="B55" s="6">
        <v>45857</v>
      </c>
      <c r="C55" t="s">
        <v>1</v>
      </c>
      <c r="D55" t="s">
        <v>10</v>
      </c>
      <c r="E55" t="s">
        <v>19</v>
      </c>
      <c r="F55" s="8">
        <v>669740</v>
      </c>
      <c r="G55" s="10">
        <f>VLOOKUP(E55,FX_Rates,2,FALSE)</f>
        <v>1</v>
      </c>
      <c r="H55" s="12">
        <f>F55*G55</f>
        <v>669740</v>
      </c>
      <c r="I55" t="s">
        <v>43</v>
      </c>
      <c r="J55" t="s">
        <v>74</v>
      </c>
      <c r="K55" s="6">
        <v>47318</v>
      </c>
      <c r="L55" t="s">
        <v>59</v>
      </c>
      <c r="M55" s="14">
        <v>46127.974039351851</v>
      </c>
    </row>
    <row r="56" spans="1:13" x14ac:dyDescent="0.35">
      <c r="A56" t="s">
        <v>137</v>
      </c>
      <c r="B56" s="6">
        <v>45362</v>
      </c>
      <c r="C56" t="s">
        <v>1</v>
      </c>
      <c r="D56" t="s">
        <v>16</v>
      </c>
      <c r="E56" t="s">
        <v>23</v>
      </c>
      <c r="F56" s="8">
        <v>2219384</v>
      </c>
      <c r="G56" s="10">
        <f>VLOOKUP(E56,FX_Rates,2,FALSE)</f>
        <v>1.1399999999999999</v>
      </c>
      <c r="H56" s="12">
        <f>F56*G56</f>
        <v>2530097.7599999998</v>
      </c>
      <c r="I56" t="s">
        <v>42</v>
      </c>
      <c r="J56" t="s">
        <v>71</v>
      </c>
      <c r="K56" s="6">
        <v>46823</v>
      </c>
      <c r="L56" t="s">
        <v>30</v>
      </c>
      <c r="M56" s="14">
        <v>46127.974039351851</v>
      </c>
    </row>
    <row r="57" spans="1:13" x14ac:dyDescent="0.35">
      <c r="A57" t="s">
        <v>138</v>
      </c>
      <c r="B57" s="6">
        <v>45182</v>
      </c>
      <c r="C57" t="s">
        <v>10</v>
      </c>
      <c r="D57" t="s">
        <v>14</v>
      </c>
      <c r="E57" t="s">
        <v>20</v>
      </c>
      <c r="F57" s="8">
        <v>3342145</v>
      </c>
      <c r="G57" s="10">
        <f>VLOOKUP(E57,FX_Rates,2,FALSE)</f>
        <v>1.08</v>
      </c>
      <c r="H57" s="12">
        <f>F57*G57</f>
        <v>3609516.6</v>
      </c>
      <c r="I57" t="s">
        <v>42</v>
      </c>
      <c r="J57" t="s">
        <v>123</v>
      </c>
      <c r="K57" s="6">
        <v>45913</v>
      </c>
      <c r="L57" t="s">
        <v>26</v>
      </c>
      <c r="M57" s="14">
        <v>46127.974039351851</v>
      </c>
    </row>
    <row r="58" spans="1:13" x14ac:dyDescent="0.35">
      <c r="A58" t="s">
        <v>139</v>
      </c>
      <c r="B58" s="6">
        <v>46081</v>
      </c>
      <c r="C58" t="s">
        <v>6</v>
      </c>
      <c r="D58" t="s">
        <v>14</v>
      </c>
      <c r="E58" t="s">
        <v>23</v>
      </c>
      <c r="F58" s="8">
        <v>2442788</v>
      </c>
      <c r="G58" s="10">
        <f>VLOOKUP(E58,FX_Rates,2,FALSE)</f>
        <v>1.1399999999999999</v>
      </c>
      <c r="H58" s="12">
        <f>F58*G58</f>
        <v>2784778.32</v>
      </c>
      <c r="I58" t="s">
        <v>43</v>
      </c>
      <c r="J58" t="s">
        <v>80</v>
      </c>
      <c r="K58" s="6">
        <v>46811</v>
      </c>
      <c r="L58" t="s">
        <v>59</v>
      </c>
      <c r="M58" s="14">
        <v>46127.974039351851</v>
      </c>
    </row>
    <row r="59" spans="1:13" x14ac:dyDescent="0.35">
      <c r="A59" t="s">
        <v>140</v>
      </c>
      <c r="B59" s="6">
        <v>45838</v>
      </c>
      <c r="C59" t="s">
        <v>2</v>
      </c>
      <c r="D59" t="s">
        <v>15</v>
      </c>
      <c r="E59" t="s">
        <v>21</v>
      </c>
      <c r="F59" s="8">
        <v>3022899</v>
      </c>
      <c r="G59" s="10">
        <f>VLOOKUP(E59,FX_Rates,2,FALSE)</f>
        <v>1.27</v>
      </c>
      <c r="H59" s="12">
        <f>F59*G59</f>
        <v>3839081.73</v>
      </c>
      <c r="I59" t="s">
        <v>42</v>
      </c>
      <c r="J59" t="s">
        <v>92</v>
      </c>
      <c r="K59" s="6">
        <v>47299</v>
      </c>
      <c r="L59" t="s">
        <v>31</v>
      </c>
      <c r="M59" s="14">
        <v>46127.974039351851</v>
      </c>
    </row>
    <row r="60" spans="1:13" x14ac:dyDescent="0.35">
      <c r="A60" t="s">
        <v>141</v>
      </c>
      <c r="B60" s="6">
        <v>45331</v>
      </c>
      <c r="C60" t="s">
        <v>11</v>
      </c>
      <c r="D60" t="s">
        <v>15</v>
      </c>
      <c r="E60" t="s">
        <v>21</v>
      </c>
      <c r="F60" s="8">
        <v>1574674</v>
      </c>
      <c r="G60" s="10">
        <f>VLOOKUP(E60,FX_Rates,2,FALSE)</f>
        <v>1.27</v>
      </c>
      <c r="H60" s="12">
        <f>F60*G60</f>
        <v>1999835.98</v>
      </c>
      <c r="I60" t="s">
        <v>44</v>
      </c>
      <c r="J60" t="s">
        <v>90</v>
      </c>
      <c r="K60" s="6">
        <v>46062</v>
      </c>
      <c r="L60" t="s">
        <v>59</v>
      </c>
      <c r="M60" s="14">
        <v>46127.974039351851</v>
      </c>
    </row>
    <row r="61" spans="1:13" x14ac:dyDescent="0.35">
      <c r="A61" t="s">
        <v>142</v>
      </c>
      <c r="B61" s="6">
        <v>46087</v>
      </c>
      <c r="C61" t="s">
        <v>6</v>
      </c>
      <c r="D61" t="s">
        <v>16</v>
      </c>
      <c r="E61" t="s">
        <v>22</v>
      </c>
      <c r="F61" s="8">
        <v>1564268</v>
      </c>
      <c r="G61" s="10">
        <f>VLOOKUP(E61,FX_Rates,2,FALSE)</f>
        <v>9.5000000000000001E-2</v>
      </c>
      <c r="H61" s="12">
        <f>F61*G61</f>
        <v>148605.46</v>
      </c>
      <c r="I61" t="s">
        <v>44</v>
      </c>
      <c r="J61" t="s">
        <v>80</v>
      </c>
      <c r="K61" s="6">
        <v>47183</v>
      </c>
      <c r="L61" t="s">
        <v>59</v>
      </c>
      <c r="M61" s="14">
        <v>46127.974039351851</v>
      </c>
    </row>
    <row r="62" spans="1:13" x14ac:dyDescent="0.35">
      <c r="A62" t="s">
        <v>143</v>
      </c>
      <c r="B62" s="6">
        <v>45487</v>
      </c>
      <c r="C62" t="s">
        <v>3</v>
      </c>
      <c r="D62" t="s">
        <v>14</v>
      </c>
      <c r="E62" t="s">
        <v>23</v>
      </c>
      <c r="F62" s="8">
        <v>2839194</v>
      </c>
      <c r="G62" s="10">
        <f>VLOOKUP(E62,FX_Rates,2,FALSE)</f>
        <v>1.1399999999999999</v>
      </c>
      <c r="H62" s="12">
        <f>F62*G62</f>
        <v>3236681.1599999997</v>
      </c>
      <c r="I62" t="s">
        <v>44</v>
      </c>
      <c r="J62" t="s">
        <v>86</v>
      </c>
      <c r="K62" s="6">
        <v>46948</v>
      </c>
      <c r="L62" t="s">
        <v>59</v>
      </c>
      <c r="M62" s="14">
        <v>46127.974039351851</v>
      </c>
    </row>
    <row r="63" spans="1:13" x14ac:dyDescent="0.35">
      <c r="A63" t="s">
        <v>144</v>
      </c>
      <c r="B63" s="6">
        <v>45859</v>
      </c>
      <c r="C63" t="s">
        <v>5</v>
      </c>
      <c r="D63" t="s">
        <v>10</v>
      </c>
      <c r="E63" t="s">
        <v>21</v>
      </c>
      <c r="F63" s="8">
        <v>3271336</v>
      </c>
      <c r="G63" s="10">
        <f>VLOOKUP(E63,FX_Rates,2,FALSE)</f>
        <v>1.27</v>
      </c>
      <c r="H63" s="12">
        <f>F63*G63</f>
        <v>4154596.72</v>
      </c>
      <c r="I63" t="s">
        <v>44</v>
      </c>
      <c r="J63" t="s">
        <v>94</v>
      </c>
      <c r="K63" s="6">
        <v>46955</v>
      </c>
      <c r="L63" t="s">
        <v>59</v>
      </c>
      <c r="M63" s="14">
        <v>46127.974039351851</v>
      </c>
    </row>
    <row r="64" spans="1:13" x14ac:dyDescent="0.35">
      <c r="A64" t="s">
        <v>145</v>
      </c>
      <c r="B64" s="6">
        <v>45078</v>
      </c>
      <c r="C64" t="s">
        <v>6</v>
      </c>
      <c r="D64" t="s">
        <v>14</v>
      </c>
      <c r="E64" t="s">
        <v>20</v>
      </c>
      <c r="F64" s="8">
        <v>2419726</v>
      </c>
      <c r="G64" s="10">
        <f>VLOOKUP(E64,FX_Rates,2,FALSE)</f>
        <v>1.08</v>
      </c>
      <c r="H64" s="12">
        <f>F64*G64</f>
        <v>2613304.08</v>
      </c>
      <c r="I64" t="s">
        <v>43</v>
      </c>
      <c r="J64" t="s">
        <v>146</v>
      </c>
      <c r="K64" s="6">
        <v>45809</v>
      </c>
      <c r="L64" t="s">
        <v>59</v>
      </c>
      <c r="M64" s="14">
        <v>46127.974039351851</v>
      </c>
    </row>
    <row r="65" spans="1:13" x14ac:dyDescent="0.35">
      <c r="A65" t="s">
        <v>147</v>
      </c>
      <c r="B65" s="6">
        <v>45110</v>
      </c>
      <c r="C65" t="s">
        <v>1</v>
      </c>
      <c r="D65" t="s">
        <v>16</v>
      </c>
      <c r="E65" t="s">
        <v>22</v>
      </c>
      <c r="F65" s="8">
        <v>204314</v>
      </c>
      <c r="G65" s="10">
        <f>VLOOKUP(E65,FX_Rates,2,FALSE)</f>
        <v>9.5000000000000001E-2</v>
      </c>
      <c r="H65" s="12">
        <f>F65*G65</f>
        <v>19409.830000000002</v>
      </c>
      <c r="I65" t="s">
        <v>44</v>
      </c>
      <c r="J65" t="s">
        <v>88</v>
      </c>
      <c r="K65" s="6">
        <v>46206</v>
      </c>
      <c r="L65" t="s">
        <v>59</v>
      </c>
      <c r="M65" s="14">
        <v>46127.974039351851</v>
      </c>
    </row>
    <row r="66" spans="1:13" x14ac:dyDescent="0.35">
      <c r="A66" t="s">
        <v>148</v>
      </c>
      <c r="B66" s="6">
        <v>45291</v>
      </c>
      <c r="C66" t="s">
        <v>4</v>
      </c>
      <c r="D66" t="s">
        <v>15</v>
      </c>
      <c r="E66" t="s">
        <v>20</v>
      </c>
      <c r="F66" s="8">
        <v>3585834</v>
      </c>
      <c r="G66" s="10">
        <f>VLOOKUP(E66,FX_Rates,2,FALSE)</f>
        <v>1.08</v>
      </c>
      <c r="H66" s="12">
        <f>F66*G66</f>
        <v>3872700.72</v>
      </c>
      <c r="I66" t="s">
        <v>42</v>
      </c>
      <c r="J66" t="s">
        <v>65</v>
      </c>
      <c r="K66" s="6">
        <v>46752</v>
      </c>
      <c r="L66" t="s">
        <v>26</v>
      </c>
      <c r="M66" s="14">
        <v>46127.974039351851</v>
      </c>
    </row>
    <row r="67" spans="1:13" x14ac:dyDescent="0.35">
      <c r="A67" t="s">
        <v>149</v>
      </c>
      <c r="B67" s="6">
        <v>45361</v>
      </c>
      <c r="C67" t="s">
        <v>3</v>
      </c>
      <c r="D67" t="s">
        <v>15</v>
      </c>
      <c r="E67" t="s">
        <v>22</v>
      </c>
      <c r="F67" s="8">
        <v>1360181</v>
      </c>
      <c r="G67" s="10">
        <f>VLOOKUP(E67,FX_Rates,2,FALSE)</f>
        <v>9.5000000000000001E-2</v>
      </c>
      <c r="H67" s="12">
        <f>F67*G67</f>
        <v>129217.19500000001</v>
      </c>
      <c r="I67" t="s">
        <v>43</v>
      </c>
      <c r="J67" t="s">
        <v>86</v>
      </c>
      <c r="K67" s="6">
        <v>46822</v>
      </c>
      <c r="L67" t="s">
        <v>59</v>
      </c>
      <c r="M67" s="14">
        <v>46127.974039351851</v>
      </c>
    </row>
    <row r="68" spans="1:13" x14ac:dyDescent="0.35">
      <c r="A68" t="s">
        <v>150</v>
      </c>
      <c r="B68" s="6">
        <v>45113</v>
      </c>
      <c r="C68" t="s">
        <v>2</v>
      </c>
      <c r="D68" t="s">
        <v>10</v>
      </c>
      <c r="E68" t="s">
        <v>22</v>
      </c>
      <c r="F68" s="8">
        <v>460838</v>
      </c>
      <c r="G68" s="10">
        <f>VLOOKUP(E68,FX_Rates,2,FALSE)</f>
        <v>9.5000000000000001E-2</v>
      </c>
      <c r="H68" s="12">
        <f>F68*G68</f>
        <v>43779.61</v>
      </c>
      <c r="I68" t="s">
        <v>44</v>
      </c>
      <c r="J68" t="s">
        <v>151</v>
      </c>
      <c r="K68" s="6">
        <v>46574</v>
      </c>
      <c r="L68" t="s">
        <v>59</v>
      </c>
      <c r="M68" s="14">
        <v>46127.974039351851</v>
      </c>
    </row>
    <row r="69" spans="1:13" x14ac:dyDescent="0.35">
      <c r="A69" t="s">
        <v>152</v>
      </c>
      <c r="B69" s="6">
        <v>45788</v>
      </c>
      <c r="C69" t="s">
        <v>1</v>
      </c>
      <c r="D69" t="s">
        <v>16</v>
      </c>
      <c r="E69" t="s">
        <v>19</v>
      </c>
      <c r="F69" s="8">
        <v>1822918</v>
      </c>
      <c r="G69" s="10">
        <f>VLOOKUP(E69,FX_Rates,2,FALSE)</f>
        <v>1</v>
      </c>
      <c r="H69" s="12">
        <f>F69*G69</f>
        <v>1822918</v>
      </c>
      <c r="I69" t="s">
        <v>44</v>
      </c>
      <c r="J69" t="s">
        <v>74</v>
      </c>
      <c r="K69" s="6">
        <v>46518</v>
      </c>
      <c r="L69" t="s">
        <v>59</v>
      </c>
      <c r="M69" s="14">
        <v>46127.974039351851</v>
      </c>
    </row>
    <row r="70" spans="1:13" x14ac:dyDescent="0.35">
      <c r="A70" t="s">
        <v>153</v>
      </c>
      <c r="B70" s="6">
        <v>45602</v>
      </c>
      <c r="C70" t="s">
        <v>6</v>
      </c>
      <c r="D70" t="s">
        <v>16</v>
      </c>
      <c r="E70" t="s">
        <v>22</v>
      </c>
      <c r="F70" s="8">
        <v>1555024</v>
      </c>
      <c r="G70" s="10">
        <f>VLOOKUP(E70,FX_Rates,2,FALSE)</f>
        <v>9.5000000000000001E-2</v>
      </c>
      <c r="H70" s="12">
        <f>F70*G70</f>
        <v>147727.28</v>
      </c>
      <c r="I70" t="s">
        <v>42</v>
      </c>
      <c r="J70" t="s">
        <v>118</v>
      </c>
      <c r="K70" s="6">
        <v>46697</v>
      </c>
      <c r="L70" t="s">
        <v>32</v>
      </c>
      <c r="M70" s="14">
        <v>46127.974039351851</v>
      </c>
    </row>
    <row r="71" spans="1:13" x14ac:dyDescent="0.35">
      <c r="A71" t="s">
        <v>154</v>
      </c>
      <c r="B71" s="6">
        <v>45713</v>
      </c>
      <c r="C71" t="s">
        <v>11</v>
      </c>
      <c r="D71" t="s">
        <v>10</v>
      </c>
      <c r="E71" t="s">
        <v>22</v>
      </c>
      <c r="F71" s="8">
        <v>2774054</v>
      </c>
      <c r="G71" s="10">
        <f>VLOOKUP(E71,FX_Rates,2,FALSE)</f>
        <v>9.5000000000000001E-2</v>
      </c>
      <c r="H71" s="12">
        <f>F71*G71</f>
        <v>263535.13</v>
      </c>
      <c r="I71" t="s">
        <v>44</v>
      </c>
      <c r="J71" t="s">
        <v>61</v>
      </c>
      <c r="K71" s="6">
        <v>46443</v>
      </c>
      <c r="L71" t="s">
        <v>59</v>
      </c>
      <c r="M71" s="14">
        <v>46127.974039351851</v>
      </c>
    </row>
    <row r="72" spans="1:13" x14ac:dyDescent="0.35">
      <c r="A72" t="s">
        <v>155</v>
      </c>
      <c r="B72" s="6">
        <v>45192</v>
      </c>
      <c r="C72" t="s">
        <v>11</v>
      </c>
      <c r="D72" t="s">
        <v>16</v>
      </c>
      <c r="E72" t="s">
        <v>22</v>
      </c>
      <c r="F72" s="8">
        <v>189465</v>
      </c>
      <c r="G72" s="10">
        <f>VLOOKUP(E72,FX_Rates,2,FALSE)</f>
        <v>9.5000000000000001E-2</v>
      </c>
      <c r="H72" s="12">
        <f>F72*G72</f>
        <v>17999.174999999999</v>
      </c>
      <c r="I72" t="s">
        <v>44</v>
      </c>
      <c r="J72" t="s">
        <v>78</v>
      </c>
      <c r="K72" s="6">
        <v>46288</v>
      </c>
      <c r="L72" t="s">
        <v>59</v>
      </c>
      <c r="M72" s="14">
        <v>46127.974039351851</v>
      </c>
    </row>
    <row r="73" spans="1:13" x14ac:dyDescent="0.35">
      <c r="A73" t="s">
        <v>156</v>
      </c>
      <c r="B73" s="6">
        <v>45402</v>
      </c>
      <c r="C73" t="s">
        <v>2</v>
      </c>
      <c r="D73" t="s">
        <v>15</v>
      </c>
      <c r="E73" t="s">
        <v>23</v>
      </c>
      <c r="F73" s="8">
        <v>1188370</v>
      </c>
      <c r="G73" s="10">
        <f>VLOOKUP(E73,FX_Rates,2,FALSE)</f>
        <v>1.1399999999999999</v>
      </c>
      <c r="H73" s="12">
        <f>F73*G73</f>
        <v>1354741.7999999998</v>
      </c>
      <c r="I73" t="s">
        <v>43</v>
      </c>
      <c r="J73" t="s">
        <v>157</v>
      </c>
      <c r="K73" s="6">
        <v>46863</v>
      </c>
      <c r="L73" t="s">
        <v>59</v>
      </c>
      <c r="M73" s="14">
        <v>46127.974039351851</v>
      </c>
    </row>
    <row r="74" spans="1:13" x14ac:dyDescent="0.35">
      <c r="A74" t="s">
        <v>158</v>
      </c>
      <c r="B74" s="6">
        <v>45973</v>
      </c>
      <c r="C74" t="s">
        <v>5</v>
      </c>
      <c r="D74" t="s">
        <v>14</v>
      </c>
      <c r="E74" t="s">
        <v>23</v>
      </c>
      <c r="F74" s="8">
        <v>3935483</v>
      </c>
      <c r="G74" s="10">
        <f>VLOOKUP(E74,FX_Rates,2,FALSE)</f>
        <v>1.1399999999999999</v>
      </c>
      <c r="H74" s="12">
        <f>F74*G74</f>
        <v>4486450.6199999992</v>
      </c>
      <c r="I74" t="s">
        <v>42</v>
      </c>
      <c r="J74" t="s">
        <v>94</v>
      </c>
      <c r="K74" s="6">
        <v>46703</v>
      </c>
      <c r="L74" t="s">
        <v>26</v>
      </c>
      <c r="M74" s="14">
        <v>46127.974039351851</v>
      </c>
    </row>
    <row r="75" spans="1:13" x14ac:dyDescent="0.35">
      <c r="A75" t="s">
        <v>159</v>
      </c>
      <c r="B75" s="6">
        <v>45542</v>
      </c>
      <c r="C75" t="s">
        <v>4</v>
      </c>
      <c r="D75" t="s">
        <v>15</v>
      </c>
      <c r="E75" t="s">
        <v>20</v>
      </c>
      <c r="F75" s="8">
        <v>3173354</v>
      </c>
      <c r="G75" s="10">
        <f>VLOOKUP(E75,FX_Rates,2,FALSE)</f>
        <v>1.08</v>
      </c>
      <c r="H75" s="12">
        <f>F75*G75</f>
        <v>3427222.3200000003</v>
      </c>
      <c r="I75" t="s">
        <v>44</v>
      </c>
      <c r="J75" t="s">
        <v>76</v>
      </c>
      <c r="K75" s="6">
        <v>46272</v>
      </c>
      <c r="L75" t="s">
        <v>59</v>
      </c>
      <c r="M75" s="14">
        <v>46127.974039351851</v>
      </c>
    </row>
    <row r="76" spans="1:13" x14ac:dyDescent="0.35">
      <c r="A76" t="s">
        <v>160</v>
      </c>
      <c r="B76" s="6">
        <v>45739</v>
      </c>
      <c r="C76" t="s">
        <v>11</v>
      </c>
      <c r="D76" t="s">
        <v>14</v>
      </c>
      <c r="E76" t="s">
        <v>20</v>
      </c>
      <c r="F76" s="8">
        <v>194719</v>
      </c>
      <c r="G76" s="10">
        <f>VLOOKUP(E76,FX_Rates,2,FALSE)</f>
        <v>1.08</v>
      </c>
      <c r="H76" s="12">
        <f>F76*G76</f>
        <v>210296.52000000002</v>
      </c>
      <c r="I76" t="s">
        <v>42</v>
      </c>
      <c r="J76" t="s">
        <v>61</v>
      </c>
      <c r="K76" s="6">
        <v>46469</v>
      </c>
      <c r="L76" t="s">
        <v>28</v>
      </c>
      <c r="M76" s="14">
        <v>46127.974039351851</v>
      </c>
    </row>
    <row r="77" spans="1:13" x14ac:dyDescent="0.35">
      <c r="A77" t="s">
        <v>161</v>
      </c>
      <c r="B77" s="6">
        <v>45495</v>
      </c>
      <c r="C77" t="s">
        <v>11</v>
      </c>
      <c r="D77" t="s">
        <v>14</v>
      </c>
      <c r="E77" t="s">
        <v>20</v>
      </c>
      <c r="F77" s="8">
        <v>3243806</v>
      </c>
      <c r="G77" s="10">
        <f>VLOOKUP(E77,FX_Rates,2,FALSE)</f>
        <v>1.08</v>
      </c>
      <c r="H77" s="12">
        <f>F77*G77</f>
        <v>3503310.4800000004</v>
      </c>
      <c r="I77" t="s">
        <v>43</v>
      </c>
      <c r="J77" t="s">
        <v>90</v>
      </c>
      <c r="K77" s="6">
        <v>46956</v>
      </c>
      <c r="L77" t="s">
        <v>59</v>
      </c>
      <c r="M77" s="14">
        <v>46127.974039351851</v>
      </c>
    </row>
    <row r="78" spans="1:13" x14ac:dyDescent="0.35">
      <c r="A78" t="s">
        <v>162</v>
      </c>
      <c r="B78" s="6">
        <v>45042</v>
      </c>
      <c r="C78" t="s">
        <v>11</v>
      </c>
      <c r="D78" t="s">
        <v>15</v>
      </c>
      <c r="E78" t="s">
        <v>20</v>
      </c>
      <c r="F78" s="8">
        <v>4044840</v>
      </c>
      <c r="G78" s="10">
        <f>VLOOKUP(E78,FX_Rates,2,FALSE)</f>
        <v>1.08</v>
      </c>
      <c r="H78" s="12">
        <f>F78*G78</f>
        <v>4368427.2</v>
      </c>
      <c r="I78" t="s">
        <v>42</v>
      </c>
      <c r="J78" t="s">
        <v>78</v>
      </c>
      <c r="K78" s="6">
        <v>46503</v>
      </c>
      <c r="L78" t="s">
        <v>31</v>
      </c>
      <c r="M78" s="14">
        <v>46127.974039351851</v>
      </c>
    </row>
    <row r="79" spans="1:13" x14ac:dyDescent="0.35">
      <c r="A79" t="s">
        <v>163</v>
      </c>
      <c r="B79" s="6">
        <v>45642</v>
      </c>
      <c r="C79" t="s">
        <v>4</v>
      </c>
      <c r="D79" t="s">
        <v>15</v>
      </c>
      <c r="E79" t="s">
        <v>23</v>
      </c>
      <c r="F79" s="8">
        <v>2956764</v>
      </c>
      <c r="G79" s="10">
        <f>VLOOKUP(E79,FX_Rates,2,FALSE)</f>
        <v>1.1399999999999999</v>
      </c>
      <c r="H79" s="12">
        <f>F79*G79</f>
        <v>3370710.9599999995</v>
      </c>
      <c r="I79" t="s">
        <v>44</v>
      </c>
      <c r="J79" t="s">
        <v>76</v>
      </c>
      <c r="K79" s="6">
        <v>46737</v>
      </c>
      <c r="L79" t="s">
        <v>59</v>
      </c>
      <c r="M79" s="14">
        <v>46127.974039351851</v>
      </c>
    </row>
    <row r="80" spans="1:13" x14ac:dyDescent="0.35">
      <c r="A80" t="s">
        <v>164</v>
      </c>
      <c r="B80" s="6">
        <v>45704</v>
      </c>
      <c r="C80" t="s">
        <v>4</v>
      </c>
      <c r="D80" t="s">
        <v>16</v>
      </c>
      <c r="E80" t="s">
        <v>21</v>
      </c>
      <c r="F80" s="8">
        <v>3475867</v>
      </c>
      <c r="G80" s="10">
        <f>VLOOKUP(E80,FX_Rates,2,FALSE)</f>
        <v>1.27</v>
      </c>
      <c r="H80" s="12">
        <f>F80*G80</f>
        <v>4414351.09</v>
      </c>
      <c r="I80" t="s">
        <v>44</v>
      </c>
      <c r="J80" t="s">
        <v>58</v>
      </c>
      <c r="K80" s="6">
        <v>46799</v>
      </c>
      <c r="L80" t="s">
        <v>59</v>
      </c>
      <c r="M80" s="14">
        <v>46127.974039351851</v>
      </c>
    </row>
    <row r="81" spans="1:13" x14ac:dyDescent="0.35">
      <c r="A81" t="s">
        <v>165</v>
      </c>
      <c r="B81" s="6">
        <v>45696</v>
      </c>
      <c r="C81" t="s">
        <v>11</v>
      </c>
      <c r="D81" t="s">
        <v>15</v>
      </c>
      <c r="E81" t="s">
        <v>19</v>
      </c>
      <c r="F81" s="8">
        <v>811545</v>
      </c>
      <c r="G81" s="10">
        <f>VLOOKUP(E81,FX_Rates,2,FALSE)</f>
        <v>1</v>
      </c>
      <c r="H81" s="12">
        <f>F81*G81</f>
        <v>811545</v>
      </c>
      <c r="I81" t="s">
        <v>44</v>
      </c>
      <c r="J81" t="s">
        <v>61</v>
      </c>
      <c r="K81" s="6">
        <v>46791</v>
      </c>
      <c r="L81" t="s">
        <v>59</v>
      </c>
      <c r="M81" s="14">
        <v>46127.974039351851</v>
      </c>
    </row>
    <row r="82" spans="1:13" x14ac:dyDescent="0.35">
      <c r="A82" t="s">
        <v>166</v>
      </c>
      <c r="B82" s="6">
        <v>45371</v>
      </c>
      <c r="C82" t="s">
        <v>10</v>
      </c>
      <c r="D82" t="s">
        <v>16</v>
      </c>
      <c r="E82" t="s">
        <v>23</v>
      </c>
      <c r="F82" s="8">
        <v>2142127</v>
      </c>
      <c r="G82" s="10">
        <f>VLOOKUP(E82,FX_Rates,2,FALSE)</f>
        <v>1.1399999999999999</v>
      </c>
      <c r="H82" s="12">
        <f>F82*G82</f>
        <v>2442024.7799999998</v>
      </c>
      <c r="I82" t="s">
        <v>43</v>
      </c>
      <c r="J82" t="s">
        <v>107</v>
      </c>
      <c r="K82" s="6">
        <v>46832</v>
      </c>
      <c r="L82" t="s">
        <v>59</v>
      </c>
      <c r="M82" s="14">
        <v>46127.974039351851</v>
      </c>
    </row>
    <row r="83" spans="1:13" x14ac:dyDescent="0.35">
      <c r="A83" t="s">
        <v>167</v>
      </c>
      <c r="B83" s="6">
        <v>45945</v>
      </c>
      <c r="C83" t="s">
        <v>4</v>
      </c>
      <c r="D83" t="s">
        <v>16</v>
      </c>
      <c r="E83" t="s">
        <v>21</v>
      </c>
      <c r="F83" s="8">
        <v>2823747</v>
      </c>
      <c r="G83" s="10">
        <f>VLOOKUP(E83,FX_Rates,2,FALSE)</f>
        <v>1.27</v>
      </c>
      <c r="H83" s="12">
        <f>F83*G83</f>
        <v>3586158.69</v>
      </c>
      <c r="I83" t="s">
        <v>44</v>
      </c>
      <c r="J83" t="s">
        <v>58</v>
      </c>
      <c r="K83" s="6">
        <v>47406</v>
      </c>
      <c r="L83" t="s">
        <v>59</v>
      </c>
      <c r="M83" s="14">
        <v>46127.974039351851</v>
      </c>
    </row>
    <row r="84" spans="1:13" x14ac:dyDescent="0.35">
      <c r="A84" t="s">
        <v>168</v>
      </c>
      <c r="B84" s="6">
        <v>45629</v>
      </c>
      <c r="C84" t="s">
        <v>1</v>
      </c>
      <c r="D84" t="s">
        <v>15</v>
      </c>
      <c r="E84" t="s">
        <v>21</v>
      </c>
      <c r="F84" s="8">
        <v>754833</v>
      </c>
      <c r="G84" s="10">
        <f>VLOOKUP(E84,FX_Rates,2,FALSE)</f>
        <v>1.27</v>
      </c>
      <c r="H84" s="12">
        <f>F84*G84</f>
        <v>958637.91</v>
      </c>
      <c r="I84" t="s">
        <v>43</v>
      </c>
      <c r="J84" t="s">
        <v>71</v>
      </c>
      <c r="K84" s="6">
        <v>47090</v>
      </c>
      <c r="L84" t="s">
        <v>59</v>
      </c>
      <c r="M84" s="14">
        <v>46127.974039351851</v>
      </c>
    </row>
    <row r="85" spans="1:13" x14ac:dyDescent="0.35">
      <c r="A85" t="s">
        <v>169</v>
      </c>
      <c r="B85" s="6">
        <v>46033</v>
      </c>
      <c r="C85" t="s">
        <v>10</v>
      </c>
      <c r="D85" t="s">
        <v>16</v>
      </c>
      <c r="E85" t="s">
        <v>22</v>
      </c>
      <c r="F85" s="8">
        <v>3875293</v>
      </c>
      <c r="G85" s="10">
        <f>VLOOKUP(E85,FX_Rates,2,FALSE)</f>
        <v>9.5000000000000001E-2</v>
      </c>
      <c r="H85" s="12">
        <f>F85*G85</f>
        <v>368152.83500000002</v>
      </c>
      <c r="I85" t="s">
        <v>42</v>
      </c>
      <c r="J85" t="s">
        <v>113</v>
      </c>
      <c r="K85" s="6">
        <v>47494</v>
      </c>
      <c r="L85" t="s">
        <v>29</v>
      </c>
      <c r="M85" s="14">
        <v>46127.974039351851</v>
      </c>
    </row>
    <row r="86" spans="1:13" x14ac:dyDescent="0.35">
      <c r="A86" t="s">
        <v>170</v>
      </c>
      <c r="B86" s="6">
        <v>45971</v>
      </c>
      <c r="C86" t="s">
        <v>5</v>
      </c>
      <c r="D86" t="s">
        <v>15</v>
      </c>
      <c r="E86" t="s">
        <v>22</v>
      </c>
      <c r="F86" s="8">
        <v>3240284</v>
      </c>
      <c r="G86" s="10">
        <f>VLOOKUP(E86,FX_Rates,2,FALSE)</f>
        <v>9.5000000000000001E-2</v>
      </c>
      <c r="H86" s="12">
        <f>F86*G86</f>
        <v>307826.98</v>
      </c>
      <c r="I86" t="s">
        <v>42</v>
      </c>
      <c r="J86" t="s">
        <v>94</v>
      </c>
      <c r="K86" s="6">
        <v>47067</v>
      </c>
      <c r="L86" t="s">
        <v>31</v>
      </c>
      <c r="M86" s="14">
        <v>46127.974039351851</v>
      </c>
    </row>
  </sheetData>
  <dataValidations count="4">
    <dataValidation type="list" allowBlank="1" showInputMessage="1" showErrorMessage="1" sqref="C2:C500" xr:uid="{6854F8A5-AAD2-4397-9CE2-803F5067C765}">
      <formula1>List_Donors</formula1>
    </dataValidation>
    <dataValidation type="list" allowBlank="1" showInputMessage="1" showErrorMessage="1" sqref="D2:D500" xr:uid="{65A883F2-A70D-4780-BDA6-30B9509E7F78}">
      <formula1>List_FundingStream</formula1>
    </dataValidation>
    <dataValidation type="list" allowBlank="1" showInputMessage="1" showErrorMessage="1" sqref="E2:E500" xr:uid="{512F1B12-F264-4AB3-AD79-DFF986BDBE96}">
      <formula1>List_Currency</formula1>
    </dataValidation>
    <dataValidation type="list" allowBlank="1" showInputMessage="1" showErrorMessage="1" sqref="I2:I500" xr:uid="{3611AA2F-2006-4A9E-ADE0-46A93FC0C8D7}">
      <formula1>List_Earmarking</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F866-1F76-4363-9A81-C9CA0DF94D63}">
  <sheetPr codeName="Sheet5"/>
  <dimension ref="A1:I121"/>
  <sheetViews>
    <sheetView workbookViewId="0"/>
  </sheetViews>
  <sheetFormatPr defaultRowHeight="14.5" x14ac:dyDescent="0.35"/>
  <cols>
    <col min="1" max="2" width="13.90625" customWidth="1"/>
    <col min="3" max="3" width="36" bestFit="1" customWidth="1"/>
    <col min="4" max="4" width="25.6328125" bestFit="1" customWidth="1"/>
    <col min="5" max="5" width="19.36328125" customWidth="1"/>
    <col min="6" max="6" width="22.54296875" style="12" customWidth="1"/>
    <col min="7" max="7" width="16" style="6" customWidth="1"/>
    <col min="8" max="8" width="17.7265625" bestFit="1" customWidth="1"/>
    <col min="9" max="9" width="15.08984375" style="14" bestFit="1" customWidth="1"/>
  </cols>
  <sheetData>
    <row r="1" spans="1:9" x14ac:dyDescent="0.35">
      <c r="A1" s="16" t="s">
        <v>171</v>
      </c>
      <c r="B1" s="16" t="s">
        <v>172</v>
      </c>
      <c r="C1" s="16" t="s">
        <v>173</v>
      </c>
      <c r="D1" s="16" t="s">
        <v>174</v>
      </c>
      <c r="E1" s="16" t="s">
        <v>175</v>
      </c>
      <c r="F1" s="17" t="s">
        <v>176</v>
      </c>
      <c r="G1" s="18" t="s">
        <v>177</v>
      </c>
      <c r="H1" s="16" t="s">
        <v>178</v>
      </c>
      <c r="I1" s="19" t="s">
        <v>56</v>
      </c>
    </row>
    <row r="2" spans="1:9" x14ac:dyDescent="0.35">
      <c r="A2" t="s">
        <v>179</v>
      </c>
      <c r="B2" t="s">
        <v>180</v>
      </c>
      <c r="C2" t="s">
        <v>181</v>
      </c>
      <c r="D2" t="s">
        <v>26</v>
      </c>
      <c r="E2" t="s">
        <v>127</v>
      </c>
      <c r="F2" s="12">
        <v>104705</v>
      </c>
      <c r="G2" s="6">
        <v>46054</v>
      </c>
      <c r="H2" t="s">
        <v>182</v>
      </c>
      <c r="I2" s="14">
        <v>46127.974039351851</v>
      </c>
    </row>
    <row r="3" spans="1:9" x14ac:dyDescent="0.35">
      <c r="A3" t="s">
        <v>183</v>
      </c>
      <c r="B3" t="s">
        <v>184</v>
      </c>
      <c r="C3" t="s">
        <v>181</v>
      </c>
      <c r="D3" t="s">
        <v>27</v>
      </c>
      <c r="E3" t="s">
        <v>144</v>
      </c>
      <c r="F3" s="12">
        <v>70776</v>
      </c>
      <c r="G3" s="6">
        <v>45890</v>
      </c>
      <c r="H3" t="s">
        <v>182</v>
      </c>
      <c r="I3" s="14">
        <v>46127.974039351851</v>
      </c>
    </row>
    <row r="4" spans="1:9" x14ac:dyDescent="0.35">
      <c r="A4" t="s">
        <v>185</v>
      </c>
      <c r="B4" t="s">
        <v>186</v>
      </c>
      <c r="C4" t="s">
        <v>187</v>
      </c>
      <c r="D4" t="s">
        <v>26</v>
      </c>
      <c r="E4" t="s">
        <v>148</v>
      </c>
      <c r="F4" s="12">
        <v>248220</v>
      </c>
      <c r="G4" s="6">
        <v>45818</v>
      </c>
      <c r="H4" t="s">
        <v>188</v>
      </c>
      <c r="I4" s="14">
        <v>46127.974039351851</v>
      </c>
    </row>
    <row r="5" spans="1:9" x14ac:dyDescent="0.35">
      <c r="A5" t="s">
        <v>189</v>
      </c>
      <c r="B5" t="s">
        <v>190</v>
      </c>
      <c r="C5" t="s">
        <v>191</v>
      </c>
      <c r="D5" t="s">
        <v>28</v>
      </c>
      <c r="E5" t="s">
        <v>158</v>
      </c>
      <c r="F5" s="12">
        <v>52319</v>
      </c>
      <c r="G5" s="6">
        <v>45834</v>
      </c>
      <c r="H5" t="s">
        <v>188</v>
      </c>
      <c r="I5" s="14">
        <v>46127.974039351851</v>
      </c>
    </row>
    <row r="6" spans="1:9" x14ac:dyDescent="0.35">
      <c r="A6" t="s">
        <v>192</v>
      </c>
      <c r="B6" t="s">
        <v>193</v>
      </c>
      <c r="C6" t="s">
        <v>194</v>
      </c>
      <c r="D6" t="s">
        <v>27</v>
      </c>
      <c r="E6" t="s">
        <v>68</v>
      </c>
      <c r="F6" s="12">
        <v>156170</v>
      </c>
      <c r="G6" s="6">
        <v>45600</v>
      </c>
      <c r="H6" t="s">
        <v>195</v>
      </c>
      <c r="I6" s="14">
        <v>46127.974039351851</v>
      </c>
    </row>
    <row r="7" spans="1:9" x14ac:dyDescent="0.35">
      <c r="A7" t="s">
        <v>196</v>
      </c>
      <c r="B7" t="s">
        <v>197</v>
      </c>
      <c r="C7" t="s">
        <v>198</v>
      </c>
      <c r="D7" t="s">
        <v>29</v>
      </c>
      <c r="E7" t="s">
        <v>150</v>
      </c>
      <c r="F7" s="12">
        <v>240680</v>
      </c>
      <c r="G7" s="6">
        <v>45543</v>
      </c>
      <c r="H7" t="s">
        <v>182</v>
      </c>
      <c r="I7" s="14">
        <v>46127.974039351851</v>
      </c>
    </row>
    <row r="8" spans="1:9" x14ac:dyDescent="0.35">
      <c r="A8" t="s">
        <v>199</v>
      </c>
      <c r="B8" t="s">
        <v>200</v>
      </c>
      <c r="C8" t="s">
        <v>201</v>
      </c>
      <c r="D8" t="s">
        <v>27</v>
      </c>
      <c r="E8" t="s">
        <v>87</v>
      </c>
      <c r="F8" s="12">
        <v>244570</v>
      </c>
      <c r="G8" s="6">
        <v>45761</v>
      </c>
      <c r="H8" t="s">
        <v>182</v>
      </c>
      <c r="I8" s="14">
        <v>46127.974039351851</v>
      </c>
    </row>
    <row r="9" spans="1:9" x14ac:dyDescent="0.35">
      <c r="A9" t="s">
        <v>202</v>
      </c>
      <c r="B9" t="s">
        <v>203</v>
      </c>
      <c r="C9" t="s">
        <v>204</v>
      </c>
      <c r="D9" t="s">
        <v>26</v>
      </c>
      <c r="E9" t="s">
        <v>158</v>
      </c>
      <c r="F9" s="12">
        <v>114374</v>
      </c>
      <c r="G9" s="6">
        <v>45654</v>
      </c>
      <c r="H9" t="s">
        <v>182</v>
      </c>
      <c r="I9" s="14">
        <v>46127.974039351851</v>
      </c>
    </row>
    <row r="10" spans="1:9" x14ac:dyDescent="0.35">
      <c r="A10" t="s">
        <v>205</v>
      </c>
      <c r="B10" t="s">
        <v>206</v>
      </c>
      <c r="C10" t="s">
        <v>207</v>
      </c>
      <c r="D10" t="s">
        <v>29</v>
      </c>
      <c r="E10" t="s">
        <v>75</v>
      </c>
      <c r="F10" s="12">
        <v>54437</v>
      </c>
      <c r="G10" s="6">
        <v>45751</v>
      </c>
      <c r="H10" t="s">
        <v>195</v>
      </c>
      <c r="I10" s="14">
        <v>46127.974039351851</v>
      </c>
    </row>
    <row r="11" spans="1:9" x14ac:dyDescent="0.35">
      <c r="A11" t="s">
        <v>208</v>
      </c>
      <c r="B11" t="s">
        <v>209</v>
      </c>
      <c r="C11" t="s">
        <v>210</v>
      </c>
      <c r="D11" t="s">
        <v>31</v>
      </c>
      <c r="E11" t="s">
        <v>140</v>
      </c>
      <c r="F11" s="12">
        <v>276917</v>
      </c>
      <c r="G11" s="6">
        <v>45889</v>
      </c>
      <c r="H11" t="s">
        <v>182</v>
      </c>
      <c r="I11" s="14">
        <v>46127.974039351851</v>
      </c>
    </row>
    <row r="12" spans="1:9" x14ac:dyDescent="0.35">
      <c r="A12" t="s">
        <v>211</v>
      </c>
      <c r="B12" t="s">
        <v>212</v>
      </c>
      <c r="C12" t="s">
        <v>194</v>
      </c>
      <c r="D12" t="s">
        <v>28</v>
      </c>
      <c r="E12" t="s">
        <v>64</v>
      </c>
      <c r="F12" s="12">
        <v>251785</v>
      </c>
      <c r="G12" s="6">
        <v>45569</v>
      </c>
      <c r="H12" t="s">
        <v>195</v>
      </c>
      <c r="I12" s="14">
        <v>46127.974039351851</v>
      </c>
    </row>
    <row r="13" spans="1:9" x14ac:dyDescent="0.35">
      <c r="A13" t="s">
        <v>213</v>
      </c>
      <c r="B13" t="s">
        <v>214</v>
      </c>
      <c r="C13" t="s">
        <v>198</v>
      </c>
      <c r="D13" t="s">
        <v>26</v>
      </c>
      <c r="E13" t="s">
        <v>72</v>
      </c>
      <c r="F13" s="12">
        <v>456824</v>
      </c>
      <c r="G13" s="6">
        <v>45789</v>
      </c>
      <c r="H13" t="s">
        <v>182</v>
      </c>
      <c r="I13" s="14">
        <v>46127.974039351851</v>
      </c>
    </row>
    <row r="14" spans="1:9" x14ac:dyDescent="0.35">
      <c r="A14" t="s">
        <v>215</v>
      </c>
      <c r="B14" t="s">
        <v>216</v>
      </c>
      <c r="C14" t="s">
        <v>198</v>
      </c>
      <c r="D14" t="s">
        <v>29</v>
      </c>
      <c r="E14" t="s">
        <v>119</v>
      </c>
      <c r="F14" s="12">
        <v>127630</v>
      </c>
      <c r="G14" s="6">
        <v>45757</v>
      </c>
      <c r="H14" t="s">
        <v>195</v>
      </c>
      <c r="I14" s="14">
        <v>46127.974039351851</v>
      </c>
    </row>
    <row r="15" spans="1:9" x14ac:dyDescent="0.35">
      <c r="A15" t="s">
        <v>217</v>
      </c>
      <c r="B15" t="s">
        <v>218</v>
      </c>
      <c r="C15" t="s">
        <v>194</v>
      </c>
      <c r="D15" t="s">
        <v>29</v>
      </c>
      <c r="E15" t="s">
        <v>85</v>
      </c>
      <c r="F15" s="12">
        <v>507611</v>
      </c>
      <c r="G15" s="6">
        <v>45443</v>
      </c>
      <c r="H15" t="s">
        <v>195</v>
      </c>
      <c r="I15" s="14">
        <v>46127.974039351851</v>
      </c>
    </row>
    <row r="16" spans="1:9" x14ac:dyDescent="0.35">
      <c r="A16" t="s">
        <v>219</v>
      </c>
      <c r="B16" t="s">
        <v>220</v>
      </c>
      <c r="C16" t="s">
        <v>194</v>
      </c>
      <c r="D16" t="s">
        <v>30</v>
      </c>
      <c r="E16" t="s">
        <v>72</v>
      </c>
      <c r="F16" s="12">
        <v>97989</v>
      </c>
      <c r="G16" s="6">
        <v>45949</v>
      </c>
      <c r="H16" t="s">
        <v>195</v>
      </c>
      <c r="I16" s="14">
        <v>46127.974039351851</v>
      </c>
    </row>
    <row r="17" spans="1:9" x14ac:dyDescent="0.35">
      <c r="A17" t="s">
        <v>221</v>
      </c>
      <c r="B17" t="s">
        <v>222</v>
      </c>
      <c r="C17" t="s">
        <v>210</v>
      </c>
      <c r="D17" t="s">
        <v>28</v>
      </c>
      <c r="E17" t="s">
        <v>102</v>
      </c>
      <c r="F17" s="12">
        <v>407795</v>
      </c>
      <c r="G17" s="6">
        <v>45487</v>
      </c>
      <c r="H17" t="s">
        <v>195</v>
      </c>
      <c r="I17" s="14">
        <v>46127.974039351851</v>
      </c>
    </row>
    <row r="18" spans="1:9" x14ac:dyDescent="0.35">
      <c r="A18" t="s">
        <v>223</v>
      </c>
      <c r="B18" t="s">
        <v>224</v>
      </c>
      <c r="C18" t="s">
        <v>225</v>
      </c>
      <c r="D18" t="s">
        <v>28</v>
      </c>
      <c r="E18" t="s">
        <v>161</v>
      </c>
      <c r="F18" s="12">
        <v>203875</v>
      </c>
      <c r="G18" s="6">
        <v>45593</v>
      </c>
      <c r="H18" t="s">
        <v>188</v>
      </c>
      <c r="I18" s="14">
        <v>46127.974039351851</v>
      </c>
    </row>
    <row r="19" spans="1:9" x14ac:dyDescent="0.35">
      <c r="A19" t="s">
        <v>226</v>
      </c>
      <c r="B19" t="s">
        <v>227</v>
      </c>
      <c r="C19" t="s">
        <v>204</v>
      </c>
      <c r="D19" t="s">
        <v>31</v>
      </c>
      <c r="E19" t="s">
        <v>73</v>
      </c>
      <c r="F19" s="12">
        <v>260889</v>
      </c>
      <c r="G19" s="6">
        <v>45644</v>
      </c>
      <c r="H19" t="s">
        <v>195</v>
      </c>
      <c r="I19" s="14">
        <v>46127.974039351851</v>
      </c>
    </row>
    <row r="20" spans="1:9" x14ac:dyDescent="0.35">
      <c r="A20" t="s">
        <v>228</v>
      </c>
      <c r="B20" t="s">
        <v>229</v>
      </c>
      <c r="C20" t="s">
        <v>230</v>
      </c>
      <c r="D20" t="s">
        <v>30</v>
      </c>
      <c r="E20" t="s">
        <v>73</v>
      </c>
      <c r="F20" s="12">
        <v>111307</v>
      </c>
      <c r="G20" s="6">
        <v>45418</v>
      </c>
      <c r="H20" t="s">
        <v>188</v>
      </c>
      <c r="I20" s="14">
        <v>46127.974039351851</v>
      </c>
    </row>
    <row r="21" spans="1:9" x14ac:dyDescent="0.35">
      <c r="A21" t="s">
        <v>231</v>
      </c>
      <c r="B21" t="s">
        <v>232</v>
      </c>
      <c r="C21" t="s">
        <v>233</v>
      </c>
      <c r="D21" t="s">
        <v>28</v>
      </c>
      <c r="E21" t="s">
        <v>108</v>
      </c>
      <c r="F21" s="12">
        <v>295411</v>
      </c>
      <c r="G21" s="6">
        <v>45456</v>
      </c>
      <c r="H21" t="s">
        <v>195</v>
      </c>
      <c r="I21" s="14">
        <v>46127.974039351851</v>
      </c>
    </row>
    <row r="22" spans="1:9" x14ac:dyDescent="0.35">
      <c r="A22" t="s">
        <v>234</v>
      </c>
      <c r="B22" t="s">
        <v>235</v>
      </c>
      <c r="C22" t="s">
        <v>236</v>
      </c>
      <c r="D22" t="s">
        <v>28</v>
      </c>
      <c r="E22" t="s">
        <v>85</v>
      </c>
      <c r="F22" s="12">
        <v>111298</v>
      </c>
      <c r="G22" s="6">
        <v>45968</v>
      </c>
      <c r="H22" t="s">
        <v>195</v>
      </c>
      <c r="I22" s="14">
        <v>46127.974039351851</v>
      </c>
    </row>
    <row r="23" spans="1:9" x14ac:dyDescent="0.35">
      <c r="A23" t="s">
        <v>237</v>
      </c>
      <c r="B23" t="s">
        <v>238</v>
      </c>
      <c r="C23" t="s">
        <v>181</v>
      </c>
      <c r="D23" t="s">
        <v>26</v>
      </c>
      <c r="E23" t="s">
        <v>87</v>
      </c>
      <c r="F23" s="12">
        <v>364875</v>
      </c>
      <c r="G23" s="6">
        <v>45739</v>
      </c>
      <c r="H23" t="s">
        <v>195</v>
      </c>
      <c r="I23" s="14">
        <v>46127.974039351851</v>
      </c>
    </row>
    <row r="24" spans="1:9" x14ac:dyDescent="0.35">
      <c r="A24" t="s">
        <v>239</v>
      </c>
      <c r="B24" t="s">
        <v>222</v>
      </c>
      <c r="C24" t="s">
        <v>240</v>
      </c>
      <c r="D24" t="s">
        <v>28</v>
      </c>
      <c r="E24" t="s">
        <v>159</v>
      </c>
      <c r="F24" s="12">
        <v>119864</v>
      </c>
      <c r="G24" s="6">
        <v>45414</v>
      </c>
      <c r="H24" t="s">
        <v>188</v>
      </c>
      <c r="I24" s="14">
        <v>46127.974039351851</v>
      </c>
    </row>
    <row r="25" spans="1:9" x14ac:dyDescent="0.35">
      <c r="A25" t="s">
        <v>241</v>
      </c>
      <c r="B25" t="s">
        <v>222</v>
      </c>
      <c r="C25" t="s">
        <v>181</v>
      </c>
      <c r="D25" t="s">
        <v>28</v>
      </c>
      <c r="E25" t="s">
        <v>168</v>
      </c>
      <c r="F25" s="12">
        <v>447797</v>
      </c>
      <c r="G25" s="6">
        <v>45671</v>
      </c>
      <c r="H25" t="s">
        <v>195</v>
      </c>
      <c r="I25" s="14">
        <v>46127.974039351851</v>
      </c>
    </row>
    <row r="26" spans="1:9" x14ac:dyDescent="0.35">
      <c r="A26" t="s">
        <v>242</v>
      </c>
      <c r="B26" t="s">
        <v>227</v>
      </c>
      <c r="C26" t="s">
        <v>243</v>
      </c>
      <c r="D26" t="s">
        <v>31</v>
      </c>
      <c r="E26" t="s">
        <v>77</v>
      </c>
      <c r="F26" s="12">
        <v>178021</v>
      </c>
      <c r="G26" s="6">
        <v>45397</v>
      </c>
      <c r="H26" t="s">
        <v>195</v>
      </c>
      <c r="I26" s="14">
        <v>46127.974039351851</v>
      </c>
    </row>
    <row r="27" spans="1:9" x14ac:dyDescent="0.35">
      <c r="A27" t="s">
        <v>244</v>
      </c>
      <c r="B27" t="s">
        <v>190</v>
      </c>
      <c r="C27" t="s">
        <v>245</v>
      </c>
      <c r="D27" t="s">
        <v>28</v>
      </c>
      <c r="E27" t="s">
        <v>97</v>
      </c>
      <c r="F27" s="12">
        <v>147694</v>
      </c>
      <c r="G27" s="6">
        <v>45705</v>
      </c>
      <c r="H27" t="s">
        <v>182</v>
      </c>
      <c r="I27" s="14">
        <v>46127.974039351851</v>
      </c>
    </row>
    <row r="28" spans="1:9" x14ac:dyDescent="0.35">
      <c r="A28" t="s">
        <v>246</v>
      </c>
      <c r="B28" t="s">
        <v>247</v>
      </c>
      <c r="C28" t="s">
        <v>248</v>
      </c>
      <c r="D28" t="s">
        <v>27</v>
      </c>
      <c r="E28" t="s">
        <v>83</v>
      </c>
      <c r="F28" s="12">
        <v>451785</v>
      </c>
      <c r="G28" s="6">
        <v>45914</v>
      </c>
      <c r="H28" t="s">
        <v>188</v>
      </c>
      <c r="I28" s="14">
        <v>46127.974039351851</v>
      </c>
    </row>
    <row r="29" spans="1:9" x14ac:dyDescent="0.35">
      <c r="A29" t="s">
        <v>249</v>
      </c>
      <c r="B29" t="s">
        <v>250</v>
      </c>
      <c r="C29" t="s">
        <v>243</v>
      </c>
      <c r="D29" t="s">
        <v>31</v>
      </c>
      <c r="E29" t="s">
        <v>165</v>
      </c>
      <c r="F29" s="12">
        <v>193080</v>
      </c>
      <c r="G29" s="6">
        <v>45381</v>
      </c>
      <c r="H29" t="s">
        <v>195</v>
      </c>
      <c r="I29" s="14">
        <v>46127.974039351851</v>
      </c>
    </row>
    <row r="30" spans="1:9" x14ac:dyDescent="0.35">
      <c r="A30" t="s">
        <v>251</v>
      </c>
      <c r="B30" t="s">
        <v>180</v>
      </c>
      <c r="C30" t="s">
        <v>230</v>
      </c>
      <c r="D30" t="s">
        <v>26</v>
      </c>
      <c r="E30" t="s">
        <v>120</v>
      </c>
      <c r="F30" s="12">
        <v>232172</v>
      </c>
      <c r="G30" s="6">
        <v>46049</v>
      </c>
      <c r="H30" t="s">
        <v>188</v>
      </c>
      <c r="I30" s="14">
        <v>46127.974039351851</v>
      </c>
    </row>
    <row r="31" spans="1:9" x14ac:dyDescent="0.35">
      <c r="A31" t="s">
        <v>252</v>
      </c>
      <c r="B31" t="s">
        <v>253</v>
      </c>
      <c r="C31" t="s">
        <v>191</v>
      </c>
      <c r="D31" t="s">
        <v>26</v>
      </c>
      <c r="E31" t="s">
        <v>68</v>
      </c>
      <c r="F31" s="12">
        <v>437471</v>
      </c>
      <c r="G31" s="6">
        <v>45518</v>
      </c>
      <c r="H31" t="s">
        <v>195</v>
      </c>
      <c r="I31" s="14">
        <v>46127.974039351851</v>
      </c>
    </row>
    <row r="32" spans="1:9" x14ac:dyDescent="0.35">
      <c r="A32" t="s">
        <v>254</v>
      </c>
      <c r="B32" t="s">
        <v>255</v>
      </c>
      <c r="C32" t="s">
        <v>181</v>
      </c>
      <c r="D32" t="s">
        <v>28</v>
      </c>
      <c r="E32" t="s">
        <v>150</v>
      </c>
      <c r="F32" s="12">
        <v>435196</v>
      </c>
      <c r="G32" s="6">
        <v>45435</v>
      </c>
      <c r="H32" t="s">
        <v>182</v>
      </c>
      <c r="I32" s="14">
        <v>46127.974039351851</v>
      </c>
    </row>
    <row r="33" spans="1:9" x14ac:dyDescent="0.35">
      <c r="A33" t="s">
        <v>256</v>
      </c>
      <c r="B33" t="s">
        <v>257</v>
      </c>
      <c r="C33" t="s">
        <v>194</v>
      </c>
      <c r="D33" t="s">
        <v>30</v>
      </c>
      <c r="E33" t="s">
        <v>62</v>
      </c>
      <c r="F33" s="12">
        <v>359382</v>
      </c>
      <c r="G33" s="6">
        <v>46022</v>
      </c>
      <c r="H33" t="s">
        <v>188</v>
      </c>
      <c r="I33" s="14">
        <v>46127.974039351851</v>
      </c>
    </row>
    <row r="34" spans="1:9" x14ac:dyDescent="0.35">
      <c r="A34" t="s">
        <v>258</v>
      </c>
      <c r="B34" t="s">
        <v>232</v>
      </c>
      <c r="C34" t="s">
        <v>243</v>
      </c>
      <c r="D34" t="s">
        <v>28</v>
      </c>
      <c r="E34" t="s">
        <v>64</v>
      </c>
      <c r="F34" s="12">
        <v>101874</v>
      </c>
      <c r="G34" s="6">
        <v>45711</v>
      </c>
      <c r="H34" t="s">
        <v>195</v>
      </c>
      <c r="I34" s="14">
        <v>46127.974039351851</v>
      </c>
    </row>
    <row r="35" spans="1:9" x14ac:dyDescent="0.35">
      <c r="A35" t="s">
        <v>259</v>
      </c>
      <c r="B35" t="s">
        <v>260</v>
      </c>
      <c r="C35" t="s">
        <v>204</v>
      </c>
      <c r="D35" t="s">
        <v>29</v>
      </c>
      <c r="E35" t="s">
        <v>112</v>
      </c>
      <c r="F35" s="12">
        <v>62330</v>
      </c>
      <c r="G35" s="6">
        <v>45887</v>
      </c>
      <c r="H35" t="s">
        <v>182</v>
      </c>
      <c r="I35" s="14">
        <v>46127.974039351851</v>
      </c>
    </row>
    <row r="36" spans="1:9" x14ac:dyDescent="0.35">
      <c r="A36" t="s">
        <v>261</v>
      </c>
      <c r="B36" t="s">
        <v>193</v>
      </c>
      <c r="C36" t="s">
        <v>194</v>
      </c>
      <c r="D36" t="s">
        <v>27</v>
      </c>
      <c r="E36" t="s">
        <v>124</v>
      </c>
      <c r="F36" s="12">
        <v>398221</v>
      </c>
      <c r="G36" s="6">
        <v>45414</v>
      </c>
      <c r="H36" t="s">
        <v>188</v>
      </c>
      <c r="I36" s="14">
        <v>46127.974039351851</v>
      </c>
    </row>
    <row r="37" spans="1:9" x14ac:dyDescent="0.35">
      <c r="A37" t="s">
        <v>262</v>
      </c>
      <c r="B37" t="s">
        <v>263</v>
      </c>
      <c r="C37" t="s">
        <v>233</v>
      </c>
      <c r="D37" t="s">
        <v>29</v>
      </c>
      <c r="E37" t="s">
        <v>64</v>
      </c>
      <c r="F37" s="12">
        <v>274831</v>
      </c>
      <c r="G37" s="6">
        <v>45383</v>
      </c>
      <c r="H37" t="s">
        <v>182</v>
      </c>
      <c r="I37" s="14">
        <v>46127.974039351851</v>
      </c>
    </row>
    <row r="38" spans="1:9" x14ac:dyDescent="0.35">
      <c r="A38" t="s">
        <v>264</v>
      </c>
      <c r="B38" t="s">
        <v>265</v>
      </c>
      <c r="C38" t="s">
        <v>266</v>
      </c>
      <c r="D38" t="s">
        <v>31</v>
      </c>
      <c r="E38" t="s">
        <v>134</v>
      </c>
      <c r="F38" s="12">
        <v>115253</v>
      </c>
      <c r="G38" s="6">
        <v>45820</v>
      </c>
      <c r="H38" t="s">
        <v>182</v>
      </c>
      <c r="I38" s="14">
        <v>46127.974039351851</v>
      </c>
    </row>
    <row r="39" spans="1:9" x14ac:dyDescent="0.35">
      <c r="A39" t="s">
        <v>267</v>
      </c>
      <c r="B39" t="s">
        <v>268</v>
      </c>
      <c r="C39" t="s">
        <v>245</v>
      </c>
      <c r="D39" t="s">
        <v>31</v>
      </c>
      <c r="E39" t="s">
        <v>64</v>
      </c>
      <c r="F39" s="12">
        <v>350398</v>
      </c>
      <c r="G39" s="6">
        <v>46058</v>
      </c>
      <c r="H39" t="s">
        <v>195</v>
      </c>
      <c r="I39" s="14">
        <v>46127.974039351851</v>
      </c>
    </row>
    <row r="40" spans="1:9" x14ac:dyDescent="0.35">
      <c r="A40" t="s">
        <v>269</v>
      </c>
      <c r="B40" t="s">
        <v>270</v>
      </c>
      <c r="C40" t="s">
        <v>207</v>
      </c>
      <c r="D40" t="s">
        <v>26</v>
      </c>
      <c r="E40" t="s">
        <v>72</v>
      </c>
      <c r="F40" s="12">
        <v>168986</v>
      </c>
      <c r="G40" s="6">
        <v>45829</v>
      </c>
      <c r="H40" t="s">
        <v>182</v>
      </c>
      <c r="I40" s="14">
        <v>46127.974039351851</v>
      </c>
    </row>
    <row r="41" spans="1:9" x14ac:dyDescent="0.35">
      <c r="A41" t="s">
        <v>271</v>
      </c>
      <c r="B41" t="s">
        <v>272</v>
      </c>
      <c r="C41" t="s">
        <v>230</v>
      </c>
      <c r="D41" t="s">
        <v>28</v>
      </c>
      <c r="E41" t="s">
        <v>148</v>
      </c>
      <c r="F41" s="12">
        <v>267549</v>
      </c>
      <c r="G41" s="6">
        <v>45629</v>
      </c>
      <c r="H41" t="s">
        <v>182</v>
      </c>
      <c r="I41" s="14">
        <v>46127.974039351851</v>
      </c>
    </row>
    <row r="42" spans="1:9" x14ac:dyDescent="0.35">
      <c r="A42" t="s">
        <v>273</v>
      </c>
      <c r="B42" t="s">
        <v>274</v>
      </c>
      <c r="C42" t="s">
        <v>240</v>
      </c>
      <c r="D42" t="s">
        <v>31</v>
      </c>
      <c r="E42" t="s">
        <v>164</v>
      </c>
      <c r="F42" s="12">
        <v>100434</v>
      </c>
      <c r="G42" s="6">
        <v>45622</v>
      </c>
      <c r="H42" t="s">
        <v>188</v>
      </c>
      <c r="I42" s="14">
        <v>46127.974039351851</v>
      </c>
    </row>
    <row r="43" spans="1:9" x14ac:dyDescent="0.35">
      <c r="A43" t="s">
        <v>275</v>
      </c>
      <c r="B43" t="s">
        <v>276</v>
      </c>
      <c r="C43" t="s">
        <v>187</v>
      </c>
      <c r="D43" t="s">
        <v>30</v>
      </c>
      <c r="E43" t="s">
        <v>149</v>
      </c>
      <c r="F43" s="12">
        <v>129799</v>
      </c>
      <c r="G43" s="6">
        <v>46008</v>
      </c>
      <c r="H43" t="s">
        <v>188</v>
      </c>
      <c r="I43" s="14">
        <v>46127.974039351851</v>
      </c>
    </row>
    <row r="44" spans="1:9" x14ac:dyDescent="0.35">
      <c r="A44" t="s">
        <v>277</v>
      </c>
      <c r="B44" t="s">
        <v>278</v>
      </c>
      <c r="C44" t="s">
        <v>279</v>
      </c>
      <c r="D44" t="s">
        <v>26</v>
      </c>
      <c r="E44" t="s">
        <v>104</v>
      </c>
      <c r="F44" s="12">
        <v>75614</v>
      </c>
      <c r="G44" s="6">
        <v>45926</v>
      </c>
      <c r="H44" t="s">
        <v>188</v>
      </c>
      <c r="I44" s="14">
        <v>46127.974039351851</v>
      </c>
    </row>
    <row r="45" spans="1:9" x14ac:dyDescent="0.35">
      <c r="A45" t="s">
        <v>280</v>
      </c>
      <c r="B45" t="s">
        <v>281</v>
      </c>
      <c r="C45" t="s">
        <v>187</v>
      </c>
      <c r="D45" t="s">
        <v>30</v>
      </c>
      <c r="E45" t="s">
        <v>166</v>
      </c>
      <c r="F45" s="12">
        <v>165663</v>
      </c>
      <c r="G45" s="6">
        <v>46008</v>
      </c>
      <c r="H45" t="s">
        <v>182</v>
      </c>
      <c r="I45" s="14">
        <v>46127.974039351851</v>
      </c>
    </row>
    <row r="46" spans="1:9" x14ac:dyDescent="0.35">
      <c r="A46" t="s">
        <v>282</v>
      </c>
      <c r="B46" t="s">
        <v>283</v>
      </c>
      <c r="C46" t="s">
        <v>210</v>
      </c>
      <c r="D46" t="s">
        <v>31</v>
      </c>
      <c r="E46" t="s">
        <v>152</v>
      </c>
      <c r="F46" s="12">
        <v>385542</v>
      </c>
      <c r="G46" s="6">
        <v>45826</v>
      </c>
      <c r="H46" t="s">
        <v>182</v>
      </c>
      <c r="I46" s="14">
        <v>46127.974039351851</v>
      </c>
    </row>
    <row r="47" spans="1:9" x14ac:dyDescent="0.35">
      <c r="A47" t="s">
        <v>284</v>
      </c>
      <c r="B47" t="s">
        <v>285</v>
      </c>
      <c r="C47" t="s">
        <v>236</v>
      </c>
      <c r="D47" t="s">
        <v>31</v>
      </c>
      <c r="E47" t="s">
        <v>110</v>
      </c>
      <c r="F47" s="12">
        <v>228658</v>
      </c>
      <c r="G47" s="6">
        <v>45716</v>
      </c>
      <c r="H47" t="s">
        <v>188</v>
      </c>
      <c r="I47" s="14">
        <v>46127.974039351851</v>
      </c>
    </row>
    <row r="48" spans="1:9" x14ac:dyDescent="0.35">
      <c r="A48" t="s">
        <v>286</v>
      </c>
      <c r="B48" t="s">
        <v>287</v>
      </c>
      <c r="C48" t="s">
        <v>198</v>
      </c>
      <c r="D48" t="s">
        <v>29</v>
      </c>
      <c r="E48" t="s">
        <v>62</v>
      </c>
      <c r="F48" s="12">
        <v>446232</v>
      </c>
      <c r="G48" s="6">
        <v>45683</v>
      </c>
      <c r="H48" t="s">
        <v>182</v>
      </c>
      <c r="I48" s="14">
        <v>46127.974039351851</v>
      </c>
    </row>
    <row r="49" spans="1:9" x14ac:dyDescent="0.35">
      <c r="A49" t="s">
        <v>288</v>
      </c>
      <c r="B49" t="s">
        <v>289</v>
      </c>
      <c r="C49" t="s">
        <v>279</v>
      </c>
      <c r="D49" t="s">
        <v>30</v>
      </c>
      <c r="E49" t="s">
        <v>112</v>
      </c>
      <c r="F49" s="12">
        <v>297298</v>
      </c>
      <c r="G49" s="6">
        <v>45768</v>
      </c>
      <c r="H49" t="s">
        <v>188</v>
      </c>
      <c r="I49" s="14">
        <v>46127.974039351851</v>
      </c>
    </row>
    <row r="50" spans="1:9" x14ac:dyDescent="0.35">
      <c r="A50" t="s">
        <v>290</v>
      </c>
      <c r="B50" t="s">
        <v>291</v>
      </c>
      <c r="C50" t="s">
        <v>266</v>
      </c>
      <c r="D50" t="s">
        <v>26</v>
      </c>
      <c r="E50" t="s">
        <v>57</v>
      </c>
      <c r="F50" s="12">
        <v>298701</v>
      </c>
      <c r="G50" s="6">
        <v>45678</v>
      </c>
      <c r="H50" t="s">
        <v>195</v>
      </c>
      <c r="I50" s="14">
        <v>46127.974039351851</v>
      </c>
    </row>
    <row r="51" spans="1:9" x14ac:dyDescent="0.35">
      <c r="A51" t="s">
        <v>292</v>
      </c>
      <c r="B51" t="s">
        <v>293</v>
      </c>
      <c r="C51" t="s">
        <v>207</v>
      </c>
      <c r="D51" t="s">
        <v>26</v>
      </c>
      <c r="E51" t="s">
        <v>136</v>
      </c>
      <c r="F51" s="12">
        <v>475100</v>
      </c>
      <c r="G51" s="6">
        <v>45887</v>
      </c>
      <c r="H51" t="s">
        <v>188</v>
      </c>
      <c r="I51" s="14">
        <v>46127.974039351851</v>
      </c>
    </row>
    <row r="52" spans="1:9" x14ac:dyDescent="0.35">
      <c r="A52" t="s">
        <v>294</v>
      </c>
      <c r="B52" t="s">
        <v>295</v>
      </c>
      <c r="C52" t="s">
        <v>187</v>
      </c>
      <c r="D52" t="s">
        <v>31</v>
      </c>
      <c r="E52" t="s">
        <v>165</v>
      </c>
      <c r="F52" s="12">
        <v>108964</v>
      </c>
      <c r="G52" s="6">
        <v>45807</v>
      </c>
      <c r="H52" t="s">
        <v>182</v>
      </c>
      <c r="I52" s="14">
        <v>46127.974039351851</v>
      </c>
    </row>
    <row r="53" spans="1:9" x14ac:dyDescent="0.35">
      <c r="A53" t="s">
        <v>296</v>
      </c>
      <c r="B53" t="s">
        <v>297</v>
      </c>
      <c r="C53" t="s">
        <v>191</v>
      </c>
      <c r="D53" t="s">
        <v>30</v>
      </c>
      <c r="E53" t="s">
        <v>162</v>
      </c>
      <c r="F53" s="12">
        <v>490578</v>
      </c>
      <c r="G53" s="6">
        <v>45615</v>
      </c>
      <c r="H53" t="s">
        <v>182</v>
      </c>
      <c r="I53" s="14">
        <v>46127.974039351851</v>
      </c>
    </row>
    <row r="54" spans="1:9" x14ac:dyDescent="0.35">
      <c r="A54" t="s">
        <v>298</v>
      </c>
      <c r="B54" t="s">
        <v>299</v>
      </c>
      <c r="C54" t="s">
        <v>230</v>
      </c>
      <c r="D54" t="s">
        <v>29</v>
      </c>
      <c r="E54" t="s">
        <v>102</v>
      </c>
      <c r="F54" s="12">
        <v>168037</v>
      </c>
      <c r="G54" s="6">
        <v>45885</v>
      </c>
      <c r="H54" t="s">
        <v>188</v>
      </c>
      <c r="I54" s="14">
        <v>46127.974039351851</v>
      </c>
    </row>
    <row r="55" spans="1:9" x14ac:dyDescent="0.35">
      <c r="A55" t="s">
        <v>300</v>
      </c>
      <c r="B55" t="s">
        <v>301</v>
      </c>
      <c r="C55" t="s">
        <v>187</v>
      </c>
      <c r="D55" t="s">
        <v>27</v>
      </c>
      <c r="E55" t="s">
        <v>101</v>
      </c>
      <c r="F55" s="12">
        <v>197250</v>
      </c>
      <c r="G55" s="6">
        <v>45769</v>
      </c>
      <c r="H55" t="s">
        <v>188</v>
      </c>
      <c r="I55" s="14">
        <v>46127.974039351851</v>
      </c>
    </row>
    <row r="56" spans="1:9" x14ac:dyDescent="0.35">
      <c r="A56" t="s">
        <v>302</v>
      </c>
      <c r="B56" t="s">
        <v>303</v>
      </c>
      <c r="C56" t="s">
        <v>304</v>
      </c>
      <c r="D56" t="s">
        <v>27</v>
      </c>
      <c r="E56" t="s">
        <v>158</v>
      </c>
      <c r="F56" s="12">
        <v>391936</v>
      </c>
      <c r="G56" s="6">
        <v>45545</v>
      </c>
      <c r="H56" t="s">
        <v>188</v>
      </c>
      <c r="I56" s="14">
        <v>46127.974039351851</v>
      </c>
    </row>
    <row r="57" spans="1:9" x14ac:dyDescent="0.35">
      <c r="A57" t="s">
        <v>305</v>
      </c>
      <c r="B57" t="s">
        <v>238</v>
      </c>
      <c r="C57" t="s">
        <v>279</v>
      </c>
      <c r="D57" t="s">
        <v>26</v>
      </c>
      <c r="E57" t="s">
        <v>91</v>
      </c>
      <c r="F57" s="12">
        <v>73629</v>
      </c>
      <c r="G57" s="6">
        <v>45526</v>
      </c>
      <c r="H57" t="s">
        <v>188</v>
      </c>
      <c r="I57" s="14">
        <v>46127.974039351851</v>
      </c>
    </row>
    <row r="58" spans="1:9" x14ac:dyDescent="0.35">
      <c r="A58" t="s">
        <v>306</v>
      </c>
      <c r="B58" t="s">
        <v>307</v>
      </c>
      <c r="C58" t="s">
        <v>207</v>
      </c>
      <c r="D58" t="s">
        <v>31</v>
      </c>
      <c r="E58" t="s">
        <v>126</v>
      </c>
      <c r="F58" s="12">
        <v>321675</v>
      </c>
      <c r="G58" s="6">
        <v>45696</v>
      </c>
      <c r="H58" t="s">
        <v>195</v>
      </c>
      <c r="I58" s="14">
        <v>46127.974039351851</v>
      </c>
    </row>
    <row r="59" spans="1:9" x14ac:dyDescent="0.35">
      <c r="A59" t="s">
        <v>308</v>
      </c>
      <c r="B59" t="s">
        <v>268</v>
      </c>
      <c r="C59" t="s">
        <v>243</v>
      </c>
      <c r="D59" t="s">
        <v>31</v>
      </c>
      <c r="E59" t="s">
        <v>91</v>
      </c>
      <c r="F59" s="12">
        <v>223232</v>
      </c>
      <c r="G59" s="6">
        <v>46070</v>
      </c>
      <c r="H59" t="s">
        <v>188</v>
      </c>
      <c r="I59" s="14">
        <v>46127.974039351851</v>
      </c>
    </row>
    <row r="60" spans="1:9" x14ac:dyDescent="0.35">
      <c r="A60" t="s">
        <v>309</v>
      </c>
      <c r="B60" t="s">
        <v>310</v>
      </c>
      <c r="C60" t="s">
        <v>236</v>
      </c>
      <c r="D60" t="s">
        <v>31</v>
      </c>
      <c r="E60" t="s">
        <v>130</v>
      </c>
      <c r="F60" s="12">
        <v>123271</v>
      </c>
      <c r="G60" s="6">
        <v>45604</v>
      </c>
      <c r="H60" t="s">
        <v>182</v>
      </c>
      <c r="I60" s="14">
        <v>46127.974039351851</v>
      </c>
    </row>
    <row r="61" spans="1:9" x14ac:dyDescent="0.35">
      <c r="A61" t="s">
        <v>311</v>
      </c>
      <c r="B61" t="s">
        <v>312</v>
      </c>
      <c r="C61" t="s">
        <v>230</v>
      </c>
      <c r="D61" t="s">
        <v>30</v>
      </c>
      <c r="E61" t="s">
        <v>81</v>
      </c>
      <c r="F61" s="12">
        <v>374575</v>
      </c>
      <c r="G61" s="6">
        <v>45480</v>
      </c>
      <c r="H61" t="s">
        <v>182</v>
      </c>
      <c r="I61" s="14">
        <v>46127.974039351851</v>
      </c>
    </row>
    <row r="62" spans="1:9" x14ac:dyDescent="0.35">
      <c r="A62" t="s">
        <v>313</v>
      </c>
      <c r="B62" t="s">
        <v>314</v>
      </c>
      <c r="C62" t="s">
        <v>240</v>
      </c>
      <c r="D62" t="s">
        <v>26</v>
      </c>
      <c r="E62" t="s">
        <v>114</v>
      </c>
      <c r="F62" s="12">
        <v>87740</v>
      </c>
      <c r="G62" s="6">
        <v>45816</v>
      </c>
      <c r="H62" t="s">
        <v>195</v>
      </c>
      <c r="I62" s="14">
        <v>46127.974039351851</v>
      </c>
    </row>
    <row r="63" spans="1:9" x14ac:dyDescent="0.35">
      <c r="A63" t="s">
        <v>315</v>
      </c>
      <c r="B63" t="s">
        <v>316</v>
      </c>
      <c r="C63" t="s">
        <v>266</v>
      </c>
      <c r="D63" t="s">
        <v>26</v>
      </c>
      <c r="E63" t="s">
        <v>75</v>
      </c>
      <c r="F63" s="12">
        <v>381173</v>
      </c>
      <c r="G63" s="6">
        <v>46036</v>
      </c>
      <c r="H63" t="s">
        <v>195</v>
      </c>
      <c r="I63" s="14">
        <v>46127.974039351851</v>
      </c>
    </row>
    <row r="64" spans="1:9" x14ac:dyDescent="0.35">
      <c r="A64" t="s">
        <v>317</v>
      </c>
      <c r="B64" t="s">
        <v>318</v>
      </c>
      <c r="C64" t="s">
        <v>240</v>
      </c>
      <c r="D64" t="s">
        <v>27</v>
      </c>
      <c r="E64" t="s">
        <v>154</v>
      </c>
      <c r="F64" s="12">
        <v>131096</v>
      </c>
      <c r="G64" s="6">
        <v>45962</v>
      </c>
      <c r="H64" t="s">
        <v>182</v>
      </c>
      <c r="I64" s="14">
        <v>46127.974039351851</v>
      </c>
    </row>
    <row r="65" spans="1:9" x14ac:dyDescent="0.35">
      <c r="A65" t="s">
        <v>319</v>
      </c>
      <c r="B65" t="s">
        <v>320</v>
      </c>
      <c r="C65" t="s">
        <v>243</v>
      </c>
      <c r="D65" t="s">
        <v>28</v>
      </c>
      <c r="E65" t="s">
        <v>117</v>
      </c>
      <c r="F65" s="12">
        <v>221542</v>
      </c>
      <c r="G65" s="6">
        <v>45453</v>
      </c>
      <c r="H65" t="s">
        <v>188</v>
      </c>
      <c r="I65" s="14">
        <v>46127.974039351851</v>
      </c>
    </row>
    <row r="66" spans="1:9" x14ac:dyDescent="0.35">
      <c r="A66" t="s">
        <v>321</v>
      </c>
      <c r="B66" t="s">
        <v>287</v>
      </c>
      <c r="C66" t="s">
        <v>322</v>
      </c>
      <c r="D66" t="s">
        <v>29</v>
      </c>
      <c r="E66" t="s">
        <v>148</v>
      </c>
      <c r="F66" s="12">
        <v>294356</v>
      </c>
      <c r="G66" s="6">
        <v>45493</v>
      </c>
      <c r="H66" t="s">
        <v>182</v>
      </c>
      <c r="I66" s="14">
        <v>46127.974039351851</v>
      </c>
    </row>
    <row r="67" spans="1:9" x14ac:dyDescent="0.35">
      <c r="A67" t="s">
        <v>323</v>
      </c>
      <c r="B67" t="s">
        <v>324</v>
      </c>
      <c r="C67" t="s">
        <v>304</v>
      </c>
      <c r="D67" t="s">
        <v>28</v>
      </c>
      <c r="E67" t="s">
        <v>150</v>
      </c>
      <c r="F67" s="12">
        <v>499197</v>
      </c>
      <c r="G67" s="6">
        <v>45645</v>
      </c>
      <c r="H67" t="s">
        <v>182</v>
      </c>
      <c r="I67" s="14">
        <v>46127.974039351851</v>
      </c>
    </row>
    <row r="68" spans="1:9" x14ac:dyDescent="0.35">
      <c r="A68" t="s">
        <v>325</v>
      </c>
      <c r="B68" t="s">
        <v>326</v>
      </c>
      <c r="C68" t="s">
        <v>236</v>
      </c>
      <c r="D68" t="s">
        <v>28</v>
      </c>
      <c r="E68" t="s">
        <v>116</v>
      </c>
      <c r="F68" s="12">
        <v>243535</v>
      </c>
      <c r="G68" s="6">
        <v>45866</v>
      </c>
      <c r="H68" t="s">
        <v>182</v>
      </c>
      <c r="I68" s="14">
        <v>46127.974039351851</v>
      </c>
    </row>
    <row r="69" spans="1:9" x14ac:dyDescent="0.35">
      <c r="A69" t="s">
        <v>327</v>
      </c>
      <c r="B69" t="s">
        <v>328</v>
      </c>
      <c r="C69" t="s">
        <v>233</v>
      </c>
      <c r="D69" t="s">
        <v>26</v>
      </c>
      <c r="E69" t="s">
        <v>165</v>
      </c>
      <c r="F69" s="12">
        <v>442654</v>
      </c>
      <c r="G69" s="6">
        <v>45422</v>
      </c>
      <c r="H69" t="s">
        <v>195</v>
      </c>
      <c r="I69" s="14">
        <v>46127.974039351851</v>
      </c>
    </row>
    <row r="70" spans="1:9" x14ac:dyDescent="0.35">
      <c r="A70" t="s">
        <v>329</v>
      </c>
      <c r="B70" t="s">
        <v>330</v>
      </c>
      <c r="C70" t="s">
        <v>322</v>
      </c>
      <c r="D70" t="s">
        <v>29</v>
      </c>
      <c r="E70" t="s">
        <v>104</v>
      </c>
      <c r="F70" s="12">
        <v>269649</v>
      </c>
      <c r="G70" s="6">
        <v>45435</v>
      </c>
      <c r="H70" t="s">
        <v>182</v>
      </c>
      <c r="I70" s="14">
        <v>46127.974039351851</v>
      </c>
    </row>
    <row r="71" spans="1:9" x14ac:dyDescent="0.35">
      <c r="A71" t="s">
        <v>331</v>
      </c>
      <c r="B71" t="s">
        <v>332</v>
      </c>
      <c r="C71" t="s">
        <v>322</v>
      </c>
      <c r="D71" t="s">
        <v>31</v>
      </c>
      <c r="E71" t="s">
        <v>60</v>
      </c>
      <c r="F71" s="12">
        <v>405429</v>
      </c>
      <c r="G71" s="6">
        <v>45603</v>
      </c>
      <c r="H71" t="s">
        <v>195</v>
      </c>
      <c r="I71" s="14">
        <v>46127.974039351851</v>
      </c>
    </row>
    <row r="72" spans="1:9" x14ac:dyDescent="0.35">
      <c r="A72" t="s">
        <v>333</v>
      </c>
      <c r="B72" t="s">
        <v>295</v>
      </c>
      <c r="C72" t="s">
        <v>279</v>
      </c>
      <c r="D72" t="s">
        <v>31</v>
      </c>
      <c r="E72" t="s">
        <v>85</v>
      </c>
      <c r="F72" s="12">
        <v>288714</v>
      </c>
      <c r="G72" s="6">
        <v>46023</v>
      </c>
      <c r="H72" t="s">
        <v>188</v>
      </c>
      <c r="I72" s="14">
        <v>46127.974039351851</v>
      </c>
    </row>
    <row r="73" spans="1:9" x14ac:dyDescent="0.35">
      <c r="A73" t="s">
        <v>334</v>
      </c>
      <c r="B73" t="s">
        <v>335</v>
      </c>
      <c r="C73" t="s">
        <v>240</v>
      </c>
      <c r="D73" t="s">
        <v>27</v>
      </c>
      <c r="E73" t="s">
        <v>108</v>
      </c>
      <c r="F73" s="12">
        <v>366037</v>
      </c>
      <c r="G73" s="6">
        <v>46094</v>
      </c>
      <c r="H73" t="s">
        <v>195</v>
      </c>
      <c r="I73" s="14">
        <v>46127.974039351851</v>
      </c>
    </row>
    <row r="74" spans="1:9" x14ac:dyDescent="0.35">
      <c r="A74" t="s">
        <v>336</v>
      </c>
      <c r="B74" t="s">
        <v>337</v>
      </c>
      <c r="C74" t="s">
        <v>240</v>
      </c>
      <c r="D74" t="s">
        <v>28</v>
      </c>
      <c r="E74" t="s">
        <v>165</v>
      </c>
      <c r="F74" s="12">
        <v>341744</v>
      </c>
      <c r="G74" s="6">
        <v>45618</v>
      </c>
      <c r="H74" t="s">
        <v>195</v>
      </c>
      <c r="I74" s="14">
        <v>46127.974039351851</v>
      </c>
    </row>
    <row r="75" spans="1:9" x14ac:dyDescent="0.35">
      <c r="A75" t="s">
        <v>338</v>
      </c>
      <c r="B75" t="s">
        <v>268</v>
      </c>
      <c r="C75" t="s">
        <v>191</v>
      </c>
      <c r="D75" t="s">
        <v>31</v>
      </c>
      <c r="E75" t="s">
        <v>132</v>
      </c>
      <c r="F75" s="12">
        <v>427994</v>
      </c>
      <c r="G75" s="6">
        <v>45889</v>
      </c>
      <c r="H75" t="s">
        <v>195</v>
      </c>
      <c r="I75" s="14">
        <v>46127.974039351851</v>
      </c>
    </row>
    <row r="76" spans="1:9" x14ac:dyDescent="0.35">
      <c r="A76" t="s">
        <v>339</v>
      </c>
      <c r="B76" t="s">
        <v>340</v>
      </c>
      <c r="C76" t="s">
        <v>248</v>
      </c>
      <c r="D76" t="s">
        <v>30</v>
      </c>
      <c r="E76" t="s">
        <v>155</v>
      </c>
      <c r="F76" s="12">
        <v>94757</v>
      </c>
      <c r="G76" s="6">
        <v>45679</v>
      </c>
      <c r="H76" t="s">
        <v>195</v>
      </c>
      <c r="I76" s="14">
        <v>46127.974039351851</v>
      </c>
    </row>
    <row r="77" spans="1:9" x14ac:dyDescent="0.35">
      <c r="A77" t="s">
        <v>341</v>
      </c>
      <c r="B77" t="s">
        <v>342</v>
      </c>
      <c r="C77" t="s">
        <v>201</v>
      </c>
      <c r="D77" t="s">
        <v>31</v>
      </c>
      <c r="E77" t="s">
        <v>126</v>
      </c>
      <c r="F77" s="12">
        <v>319815</v>
      </c>
      <c r="G77" s="6">
        <v>45987</v>
      </c>
      <c r="H77" t="s">
        <v>182</v>
      </c>
      <c r="I77" s="14">
        <v>46127.974039351851</v>
      </c>
    </row>
    <row r="78" spans="1:9" x14ac:dyDescent="0.35">
      <c r="A78" t="s">
        <v>343</v>
      </c>
      <c r="B78" t="s">
        <v>255</v>
      </c>
      <c r="C78" t="s">
        <v>210</v>
      </c>
      <c r="D78" t="s">
        <v>28</v>
      </c>
      <c r="E78" t="s">
        <v>104</v>
      </c>
      <c r="F78" s="12">
        <v>338766</v>
      </c>
      <c r="G78" s="6">
        <v>46020</v>
      </c>
      <c r="H78" t="s">
        <v>188</v>
      </c>
      <c r="I78" s="14">
        <v>46127.974039351851</v>
      </c>
    </row>
    <row r="79" spans="1:9" x14ac:dyDescent="0.35">
      <c r="A79" t="s">
        <v>344</v>
      </c>
      <c r="B79" t="s">
        <v>257</v>
      </c>
      <c r="C79" t="s">
        <v>245</v>
      </c>
      <c r="D79" t="s">
        <v>30</v>
      </c>
      <c r="E79" t="s">
        <v>98</v>
      </c>
      <c r="F79" s="12">
        <v>395017</v>
      </c>
      <c r="G79" s="6">
        <v>45749</v>
      </c>
      <c r="H79" t="s">
        <v>182</v>
      </c>
      <c r="I79" s="14">
        <v>46127.974039351851</v>
      </c>
    </row>
    <row r="80" spans="1:9" x14ac:dyDescent="0.35">
      <c r="A80" t="s">
        <v>345</v>
      </c>
      <c r="B80" t="s">
        <v>346</v>
      </c>
      <c r="C80" t="s">
        <v>198</v>
      </c>
      <c r="D80" t="s">
        <v>27</v>
      </c>
      <c r="E80" t="s">
        <v>83</v>
      </c>
      <c r="F80" s="12">
        <v>489788</v>
      </c>
      <c r="G80" s="6">
        <v>45543</v>
      </c>
      <c r="H80" t="s">
        <v>182</v>
      </c>
      <c r="I80" s="14">
        <v>46127.974039351851</v>
      </c>
    </row>
    <row r="81" spans="1:9" x14ac:dyDescent="0.35">
      <c r="A81" t="s">
        <v>347</v>
      </c>
      <c r="B81" t="s">
        <v>348</v>
      </c>
      <c r="C81" t="s">
        <v>322</v>
      </c>
      <c r="D81" t="s">
        <v>29</v>
      </c>
      <c r="E81" t="s">
        <v>85</v>
      </c>
      <c r="F81" s="12">
        <v>132114</v>
      </c>
      <c r="G81" s="6">
        <v>45808</v>
      </c>
      <c r="H81" t="s">
        <v>182</v>
      </c>
      <c r="I81" s="14">
        <v>46127.974039351851</v>
      </c>
    </row>
    <row r="82" spans="1:9" x14ac:dyDescent="0.35">
      <c r="A82" t="s">
        <v>349</v>
      </c>
      <c r="B82" t="s">
        <v>350</v>
      </c>
      <c r="C82" t="s">
        <v>201</v>
      </c>
      <c r="D82" t="s">
        <v>30</v>
      </c>
      <c r="E82" t="s">
        <v>101</v>
      </c>
      <c r="F82" s="12">
        <v>88839</v>
      </c>
      <c r="G82" s="6">
        <v>45888</v>
      </c>
      <c r="H82" t="s">
        <v>182</v>
      </c>
      <c r="I82" s="14">
        <v>46127.974039351851</v>
      </c>
    </row>
    <row r="83" spans="1:9" x14ac:dyDescent="0.35">
      <c r="A83" t="s">
        <v>351</v>
      </c>
      <c r="B83" t="s">
        <v>352</v>
      </c>
      <c r="C83" t="s">
        <v>353</v>
      </c>
      <c r="D83" t="s">
        <v>29</v>
      </c>
      <c r="E83" t="s">
        <v>159</v>
      </c>
      <c r="F83" s="12">
        <v>134623</v>
      </c>
      <c r="G83" s="6">
        <v>45890</v>
      </c>
      <c r="H83" t="s">
        <v>188</v>
      </c>
      <c r="I83" s="14">
        <v>46127.974039351851</v>
      </c>
    </row>
    <row r="84" spans="1:9" x14ac:dyDescent="0.35">
      <c r="A84" t="s">
        <v>354</v>
      </c>
      <c r="B84" t="s">
        <v>355</v>
      </c>
      <c r="C84" t="s">
        <v>187</v>
      </c>
      <c r="D84" t="s">
        <v>31</v>
      </c>
      <c r="E84" t="s">
        <v>169</v>
      </c>
      <c r="F84" s="12">
        <v>301935</v>
      </c>
      <c r="G84" s="6">
        <v>45591</v>
      </c>
      <c r="H84" t="s">
        <v>188</v>
      </c>
      <c r="I84" s="14">
        <v>46127.974039351851</v>
      </c>
    </row>
    <row r="85" spans="1:9" x14ac:dyDescent="0.35">
      <c r="A85" t="s">
        <v>356</v>
      </c>
      <c r="B85" t="s">
        <v>357</v>
      </c>
      <c r="C85" t="s">
        <v>198</v>
      </c>
      <c r="D85" t="s">
        <v>29</v>
      </c>
      <c r="E85" t="s">
        <v>81</v>
      </c>
      <c r="F85" s="12">
        <v>131058</v>
      </c>
      <c r="G85" s="6">
        <v>45534</v>
      </c>
      <c r="H85" t="s">
        <v>188</v>
      </c>
      <c r="I85" s="14">
        <v>46127.974039351851</v>
      </c>
    </row>
    <row r="86" spans="1:9" x14ac:dyDescent="0.35">
      <c r="A86" t="s">
        <v>358</v>
      </c>
      <c r="B86" t="s">
        <v>359</v>
      </c>
      <c r="C86" t="s">
        <v>322</v>
      </c>
      <c r="D86" t="s">
        <v>30</v>
      </c>
      <c r="E86" t="s">
        <v>138</v>
      </c>
      <c r="F86" s="12">
        <v>420090</v>
      </c>
      <c r="G86" s="6">
        <v>45929</v>
      </c>
      <c r="H86" t="s">
        <v>195</v>
      </c>
      <c r="I86" s="14">
        <v>46127.974039351851</v>
      </c>
    </row>
    <row r="87" spans="1:9" x14ac:dyDescent="0.35">
      <c r="A87" t="s">
        <v>360</v>
      </c>
      <c r="B87" t="s">
        <v>310</v>
      </c>
      <c r="C87" t="s">
        <v>322</v>
      </c>
      <c r="D87" t="s">
        <v>31</v>
      </c>
      <c r="E87" t="s">
        <v>79</v>
      </c>
      <c r="F87" s="12">
        <v>474937</v>
      </c>
      <c r="G87" s="6">
        <v>45560</v>
      </c>
      <c r="H87" t="s">
        <v>182</v>
      </c>
      <c r="I87" s="14">
        <v>46127.974039351851</v>
      </c>
    </row>
    <row r="88" spans="1:9" x14ac:dyDescent="0.35">
      <c r="A88" t="s">
        <v>361</v>
      </c>
      <c r="B88" t="s">
        <v>362</v>
      </c>
      <c r="C88" t="s">
        <v>266</v>
      </c>
      <c r="D88" t="s">
        <v>31</v>
      </c>
      <c r="E88" t="s">
        <v>66</v>
      </c>
      <c r="F88" s="12">
        <v>359320</v>
      </c>
      <c r="G88" s="6">
        <v>45801</v>
      </c>
      <c r="H88" t="s">
        <v>195</v>
      </c>
      <c r="I88" s="14">
        <v>46127.974039351851</v>
      </c>
    </row>
    <row r="89" spans="1:9" x14ac:dyDescent="0.35">
      <c r="A89" t="s">
        <v>363</v>
      </c>
      <c r="B89" t="s">
        <v>364</v>
      </c>
      <c r="C89" t="s">
        <v>194</v>
      </c>
      <c r="D89" t="s">
        <v>26</v>
      </c>
      <c r="E89" t="s">
        <v>85</v>
      </c>
      <c r="F89" s="12">
        <v>144773</v>
      </c>
      <c r="G89" s="6">
        <v>45872</v>
      </c>
      <c r="H89" t="s">
        <v>195</v>
      </c>
      <c r="I89" s="14">
        <v>46127.974039351851</v>
      </c>
    </row>
    <row r="90" spans="1:9" x14ac:dyDescent="0.35">
      <c r="A90" t="s">
        <v>365</v>
      </c>
      <c r="B90" t="s">
        <v>366</v>
      </c>
      <c r="C90" t="s">
        <v>243</v>
      </c>
      <c r="D90" t="s">
        <v>30</v>
      </c>
      <c r="E90" t="s">
        <v>79</v>
      </c>
      <c r="F90" s="12">
        <v>160642</v>
      </c>
      <c r="G90" s="6">
        <v>45390</v>
      </c>
      <c r="H90" t="s">
        <v>188</v>
      </c>
      <c r="I90" s="14">
        <v>46127.974039351851</v>
      </c>
    </row>
    <row r="91" spans="1:9" x14ac:dyDescent="0.35">
      <c r="A91" t="s">
        <v>367</v>
      </c>
      <c r="B91" t="s">
        <v>368</v>
      </c>
      <c r="C91" t="s">
        <v>369</v>
      </c>
      <c r="D91" t="s">
        <v>30</v>
      </c>
      <c r="E91" t="s">
        <v>160</v>
      </c>
      <c r="F91" s="12">
        <v>244084</v>
      </c>
      <c r="G91" s="6">
        <v>45465</v>
      </c>
      <c r="H91" t="s">
        <v>195</v>
      </c>
      <c r="I91" s="14">
        <v>46127.974039351851</v>
      </c>
    </row>
    <row r="92" spans="1:9" x14ac:dyDescent="0.35">
      <c r="A92" t="s">
        <v>370</v>
      </c>
      <c r="B92" t="s">
        <v>371</v>
      </c>
      <c r="C92" t="s">
        <v>187</v>
      </c>
      <c r="D92" t="s">
        <v>29</v>
      </c>
      <c r="E92" t="s">
        <v>81</v>
      </c>
      <c r="F92" s="12">
        <v>490070</v>
      </c>
      <c r="G92" s="6">
        <v>45420</v>
      </c>
      <c r="H92" t="s">
        <v>182</v>
      </c>
      <c r="I92" s="14">
        <v>46127.974039351851</v>
      </c>
    </row>
    <row r="93" spans="1:9" x14ac:dyDescent="0.35">
      <c r="A93" t="s">
        <v>372</v>
      </c>
      <c r="B93" t="s">
        <v>373</v>
      </c>
      <c r="C93" t="s">
        <v>240</v>
      </c>
      <c r="D93" t="s">
        <v>27</v>
      </c>
      <c r="E93" t="s">
        <v>68</v>
      </c>
      <c r="F93" s="12">
        <v>501383</v>
      </c>
      <c r="G93" s="6">
        <v>46070</v>
      </c>
      <c r="H93" t="s">
        <v>188</v>
      </c>
      <c r="I93" s="14">
        <v>46127.974039351851</v>
      </c>
    </row>
    <row r="94" spans="1:9" x14ac:dyDescent="0.35">
      <c r="A94" t="s">
        <v>374</v>
      </c>
      <c r="B94" t="s">
        <v>227</v>
      </c>
      <c r="C94" t="s">
        <v>369</v>
      </c>
      <c r="D94" t="s">
        <v>31</v>
      </c>
      <c r="E94" t="s">
        <v>128</v>
      </c>
      <c r="F94" s="12">
        <v>138620</v>
      </c>
      <c r="G94" s="6">
        <v>45708</v>
      </c>
      <c r="H94" t="s">
        <v>188</v>
      </c>
      <c r="I94" s="14">
        <v>46127.974039351851</v>
      </c>
    </row>
    <row r="95" spans="1:9" x14ac:dyDescent="0.35">
      <c r="A95" t="s">
        <v>375</v>
      </c>
      <c r="B95" t="s">
        <v>376</v>
      </c>
      <c r="C95" t="s">
        <v>201</v>
      </c>
      <c r="D95" t="s">
        <v>29</v>
      </c>
      <c r="E95" t="s">
        <v>158</v>
      </c>
      <c r="F95" s="12">
        <v>270189</v>
      </c>
      <c r="G95" s="6">
        <v>45584</v>
      </c>
      <c r="H95" t="s">
        <v>188</v>
      </c>
      <c r="I95" s="14">
        <v>46127.974039351851</v>
      </c>
    </row>
    <row r="96" spans="1:9" x14ac:dyDescent="0.35">
      <c r="A96" t="s">
        <v>377</v>
      </c>
      <c r="B96" t="s">
        <v>378</v>
      </c>
      <c r="C96" t="s">
        <v>266</v>
      </c>
      <c r="D96" t="s">
        <v>31</v>
      </c>
      <c r="E96" t="s">
        <v>68</v>
      </c>
      <c r="F96" s="12">
        <v>522309</v>
      </c>
      <c r="G96" s="6">
        <v>45885</v>
      </c>
      <c r="H96" t="s">
        <v>195</v>
      </c>
      <c r="I96" s="14">
        <v>46127.974039351851</v>
      </c>
    </row>
    <row r="97" spans="1:9" x14ac:dyDescent="0.35">
      <c r="A97" t="s">
        <v>379</v>
      </c>
      <c r="B97" t="s">
        <v>380</v>
      </c>
      <c r="C97" t="s">
        <v>279</v>
      </c>
      <c r="D97" t="s">
        <v>29</v>
      </c>
      <c r="E97" t="s">
        <v>133</v>
      </c>
      <c r="F97" s="12">
        <v>529014</v>
      </c>
      <c r="G97" s="6">
        <v>45374</v>
      </c>
      <c r="H97" t="s">
        <v>195</v>
      </c>
      <c r="I97" s="14">
        <v>46127.974039351851</v>
      </c>
    </row>
    <row r="98" spans="1:9" x14ac:dyDescent="0.35">
      <c r="A98" t="s">
        <v>381</v>
      </c>
      <c r="B98" t="s">
        <v>382</v>
      </c>
      <c r="C98" t="s">
        <v>279</v>
      </c>
      <c r="D98" t="s">
        <v>29</v>
      </c>
      <c r="E98" t="s">
        <v>139</v>
      </c>
      <c r="F98" s="12">
        <v>182151</v>
      </c>
      <c r="G98" s="6">
        <v>45401</v>
      </c>
      <c r="H98" t="s">
        <v>195</v>
      </c>
      <c r="I98" s="14">
        <v>46127.974039351851</v>
      </c>
    </row>
    <row r="99" spans="1:9" x14ac:dyDescent="0.35">
      <c r="A99" t="s">
        <v>383</v>
      </c>
      <c r="B99" t="s">
        <v>384</v>
      </c>
      <c r="C99" t="s">
        <v>233</v>
      </c>
      <c r="D99" t="s">
        <v>30</v>
      </c>
      <c r="E99" t="s">
        <v>159</v>
      </c>
      <c r="F99" s="12">
        <v>381376</v>
      </c>
      <c r="G99" s="6">
        <v>45893</v>
      </c>
      <c r="H99" t="s">
        <v>195</v>
      </c>
      <c r="I99" s="14">
        <v>46127.974039351851</v>
      </c>
    </row>
    <row r="100" spans="1:9" x14ac:dyDescent="0.35">
      <c r="A100" t="s">
        <v>385</v>
      </c>
      <c r="B100" t="s">
        <v>386</v>
      </c>
      <c r="C100" t="s">
        <v>233</v>
      </c>
      <c r="D100" t="s">
        <v>29</v>
      </c>
      <c r="E100" t="s">
        <v>132</v>
      </c>
      <c r="F100" s="12">
        <v>284162</v>
      </c>
      <c r="G100" s="6">
        <v>45713</v>
      </c>
      <c r="H100" t="s">
        <v>182</v>
      </c>
      <c r="I100" s="14">
        <v>46127.974039351851</v>
      </c>
    </row>
    <row r="101" spans="1:9" x14ac:dyDescent="0.35">
      <c r="A101" t="s">
        <v>387</v>
      </c>
      <c r="B101" t="s">
        <v>388</v>
      </c>
      <c r="C101" t="s">
        <v>389</v>
      </c>
      <c r="D101" t="s">
        <v>26</v>
      </c>
      <c r="E101" t="s">
        <v>127</v>
      </c>
      <c r="F101" s="12">
        <v>55791</v>
      </c>
      <c r="G101" s="6">
        <v>45952</v>
      </c>
      <c r="H101" t="s">
        <v>188</v>
      </c>
      <c r="I101" s="14">
        <v>46127.974039351851</v>
      </c>
    </row>
    <row r="102" spans="1:9" x14ac:dyDescent="0.35">
      <c r="A102" t="s">
        <v>390</v>
      </c>
      <c r="B102" t="s">
        <v>391</v>
      </c>
      <c r="C102" t="s">
        <v>243</v>
      </c>
      <c r="D102" t="s">
        <v>27</v>
      </c>
      <c r="E102" t="s">
        <v>98</v>
      </c>
      <c r="F102" s="12">
        <v>119358</v>
      </c>
      <c r="G102" s="6">
        <v>45906</v>
      </c>
      <c r="H102" t="s">
        <v>188</v>
      </c>
      <c r="I102" s="14">
        <v>46127.974039351851</v>
      </c>
    </row>
    <row r="103" spans="1:9" x14ac:dyDescent="0.35">
      <c r="A103" t="s">
        <v>392</v>
      </c>
      <c r="B103" t="s">
        <v>393</v>
      </c>
      <c r="C103" t="s">
        <v>181</v>
      </c>
      <c r="D103" t="s">
        <v>27</v>
      </c>
      <c r="E103" t="s">
        <v>141</v>
      </c>
      <c r="F103" s="12">
        <v>405772</v>
      </c>
      <c r="G103" s="6">
        <v>45639</v>
      </c>
      <c r="H103" t="s">
        <v>188</v>
      </c>
      <c r="I103" s="14">
        <v>46127.974039351851</v>
      </c>
    </row>
    <row r="104" spans="1:9" x14ac:dyDescent="0.35">
      <c r="A104" t="s">
        <v>394</v>
      </c>
      <c r="B104" t="s">
        <v>395</v>
      </c>
      <c r="C104" t="s">
        <v>187</v>
      </c>
      <c r="D104" t="s">
        <v>29</v>
      </c>
      <c r="E104" t="s">
        <v>120</v>
      </c>
      <c r="F104" s="12">
        <v>103754</v>
      </c>
      <c r="G104" s="6">
        <v>45612</v>
      </c>
      <c r="H104" t="s">
        <v>195</v>
      </c>
      <c r="I104" s="14">
        <v>46127.974039351851</v>
      </c>
    </row>
    <row r="105" spans="1:9" x14ac:dyDescent="0.35">
      <c r="A105" t="s">
        <v>396</v>
      </c>
      <c r="B105" t="s">
        <v>212</v>
      </c>
      <c r="C105" t="s">
        <v>181</v>
      </c>
      <c r="D105" t="s">
        <v>28</v>
      </c>
      <c r="E105" t="s">
        <v>140</v>
      </c>
      <c r="F105" s="12">
        <v>409837</v>
      </c>
      <c r="G105" s="6">
        <v>45590</v>
      </c>
      <c r="H105" t="s">
        <v>195</v>
      </c>
      <c r="I105" s="14">
        <v>46127.974039351851</v>
      </c>
    </row>
    <row r="106" spans="1:9" x14ac:dyDescent="0.35">
      <c r="A106" t="s">
        <v>397</v>
      </c>
      <c r="B106" t="s">
        <v>398</v>
      </c>
      <c r="C106" t="s">
        <v>353</v>
      </c>
      <c r="D106" t="s">
        <v>30</v>
      </c>
      <c r="E106" t="s">
        <v>81</v>
      </c>
      <c r="F106" s="12">
        <v>278367</v>
      </c>
      <c r="G106" s="6">
        <v>45740</v>
      </c>
      <c r="H106" t="s">
        <v>195</v>
      </c>
      <c r="I106" s="14">
        <v>46127.974039351851</v>
      </c>
    </row>
    <row r="107" spans="1:9" x14ac:dyDescent="0.35">
      <c r="A107" t="s">
        <v>399</v>
      </c>
      <c r="B107" t="s">
        <v>400</v>
      </c>
      <c r="C107" t="s">
        <v>279</v>
      </c>
      <c r="D107" t="s">
        <v>29</v>
      </c>
      <c r="E107" t="s">
        <v>72</v>
      </c>
      <c r="F107" s="12">
        <v>171501</v>
      </c>
      <c r="G107" s="6">
        <v>45529</v>
      </c>
      <c r="H107" t="s">
        <v>182</v>
      </c>
      <c r="I107" s="14">
        <v>46127.974039351851</v>
      </c>
    </row>
    <row r="108" spans="1:9" x14ac:dyDescent="0.35">
      <c r="A108" t="s">
        <v>401</v>
      </c>
      <c r="B108" t="s">
        <v>402</v>
      </c>
      <c r="C108" t="s">
        <v>240</v>
      </c>
      <c r="D108" t="s">
        <v>27</v>
      </c>
      <c r="E108" t="s">
        <v>126</v>
      </c>
      <c r="F108" s="12">
        <v>309211</v>
      </c>
      <c r="G108" s="6">
        <v>45558</v>
      </c>
      <c r="H108" t="s">
        <v>195</v>
      </c>
      <c r="I108" s="14">
        <v>46127.974039351851</v>
      </c>
    </row>
    <row r="109" spans="1:9" x14ac:dyDescent="0.35">
      <c r="A109" t="s">
        <v>403</v>
      </c>
      <c r="B109" t="s">
        <v>299</v>
      </c>
      <c r="C109" t="s">
        <v>245</v>
      </c>
      <c r="D109" t="s">
        <v>29</v>
      </c>
      <c r="E109" t="s">
        <v>152</v>
      </c>
      <c r="F109" s="12">
        <v>419280</v>
      </c>
      <c r="G109" s="6">
        <v>45727</v>
      </c>
      <c r="H109" t="s">
        <v>195</v>
      </c>
      <c r="I109" s="14">
        <v>46127.974039351851</v>
      </c>
    </row>
    <row r="110" spans="1:9" x14ac:dyDescent="0.35">
      <c r="A110" t="s">
        <v>404</v>
      </c>
      <c r="B110" t="s">
        <v>257</v>
      </c>
      <c r="C110" t="s">
        <v>233</v>
      </c>
      <c r="D110" t="s">
        <v>30</v>
      </c>
      <c r="E110" t="s">
        <v>70</v>
      </c>
      <c r="F110" s="12">
        <v>487303</v>
      </c>
      <c r="G110" s="6">
        <v>45610</v>
      </c>
      <c r="H110" t="s">
        <v>188</v>
      </c>
      <c r="I110" s="14">
        <v>46127.974039351851</v>
      </c>
    </row>
    <row r="111" spans="1:9" x14ac:dyDescent="0.35">
      <c r="A111" t="s">
        <v>405</v>
      </c>
      <c r="B111" t="s">
        <v>209</v>
      </c>
      <c r="C111" t="s">
        <v>201</v>
      </c>
      <c r="D111" t="s">
        <v>31</v>
      </c>
      <c r="E111" t="s">
        <v>159</v>
      </c>
      <c r="F111" s="12">
        <v>506688</v>
      </c>
      <c r="G111" s="6">
        <v>45542</v>
      </c>
      <c r="H111" t="s">
        <v>182</v>
      </c>
      <c r="I111" s="14">
        <v>46127.974039351851</v>
      </c>
    </row>
    <row r="112" spans="1:9" x14ac:dyDescent="0.35">
      <c r="A112" t="s">
        <v>406</v>
      </c>
      <c r="B112" t="s">
        <v>203</v>
      </c>
      <c r="C112" t="s">
        <v>225</v>
      </c>
      <c r="D112" t="s">
        <v>26</v>
      </c>
      <c r="E112" t="s">
        <v>125</v>
      </c>
      <c r="F112" s="12">
        <v>228657</v>
      </c>
      <c r="G112" s="6">
        <v>45529</v>
      </c>
      <c r="H112" t="s">
        <v>188</v>
      </c>
      <c r="I112" s="14">
        <v>46127.974039351851</v>
      </c>
    </row>
    <row r="113" spans="1:9" x14ac:dyDescent="0.35">
      <c r="A113" t="s">
        <v>407</v>
      </c>
      <c r="B113" t="s">
        <v>270</v>
      </c>
      <c r="C113" t="s">
        <v>240</v>
      </c>
      <c r="D113" t="s">
        <v>26</v>
      </c>
      <c r="E113" t="s">
        <v>140</v>
      </c>
      <c r="F113" s="12">
        <v>412243</v>
      </c>
      <c r="G113" s="6">
        <v>45609</v>
      </c>
      <c r="H113" t="s">
        <v>195</v>
      </c>
      <c r="I113" s="14">
        <v>46127.974039351851</v>
      </c>
    </row>
    <row r="114" spans="1:9" x14ac:dyDescent="0.35">
      <c r="A114" t="s">
        <v>408</v>
      </c>
      <c r="B114" t="s">
        <v>409</v>
      </c>
      <c r="C114" t="s">
        <v>233</v>
      </c>
      <c r="D114" t="s">
        <v>28</v>
      </c>
      <c r="E114" t="s">
        <v>155</v>
      </c>
      <c r="F114" s="12">
        <v>74290</v>
      </c>
      <c r="G114" s="6">
        <v>45493</v>
      </c>
      <c r="H114" t="s">
        <v>182</v>
      </c>
      <c r="I114" s="14">
        <v>46127.974039351851</v>
      </c>
    </row>
    <row r="115" spans="1:9" x14ac:dyDescent="0.35">
      <c r="A115" t="s">
        <v>410</v>
      </c>
      <c r="B115" t="s">
        <v>411</v>
      </c>
      <c r="C115" t="s">
        <v>304</v>
      </c>
      <c r="D115" t="s">
        <v>29</v>
      </c>
      <c r="E115" t="s">
        <v>152</v>
      </c>
      <c r="F115" s="12">
        <v>239458</v>
      </c>
      <c r="G115" s="6">
        <v>45653</v>
      </c>
      <c r="H115" t="s">
        <v>182</v>
      </c>
      <c r="I115" s="14">
        <v>46127.974039351851</v>
      </c>
    </row>
    <row r="116" spans="1:9" x14ac:dyDescent="0.35">
      <c r="A116" t="s">
        <v>412</v>
      </c>
      <c r="B116" t="s">
        <v>413</v>
      </c>
      <c r="C116" t="s">
        <v>187</v>
      </c>
      <c r="D116" t="s">
        <v>26</v>
      </c>
      <c r="E116" t="s">
        <v>93</v>
      </c>
      <c r="F116" s="12">
        <v>190217</v>
      </c>
      <c r="G116" s="6">
        <v>45501</v>
      </c>
      <c r="H116" t="s">
        <v>182</v>
      </c>
      <c r="I116" s="14">
        <v>46127.974039351851</v>
      </c>
    </row>
    <row r="117" spans="1:9" x14ac:dyDescent="0.35">
      <c r="A117" t="s">
        <v>414</v>
      </c>
      <c r="B117" t="s">
        <v>415</v>
      </c>
      <c r="C117" t="s">
        <v>236</v>
      </c>
      <c r="D117" t="s">
        <v>31</v>
      </c>
      <c r="E117" t="s">
        <v>73</v>
      </c>
      <c r="F117" s="12">
        <v>216851</v>
      </c>
      <c r="G117" s="6">
        <v>45944</v>
      </c>
      <c r="H117" t="s">
        <v>188</v>
      </c>
      <c r="I117" s="14">
        <v>46127.974039351851</v>
      </c>
    </row>
    <row r="118" spans="1:9" x14ac:dyDescent="0.35">
      <c r="A118" t="s">
        <v>416</v>
      </c>
      <c r="B118" t="s">
        <v>417</v>
      </c>
      <c r="C118" t="s">
        <v>187</v>
      </c>
      <c r="D118" t="s">
        <v>31</v>
      </c>
      <c r="E118" t="s">
        <v>87</v>
      </c>
      <c r="F118" s="12">
        <v>367454</v>
      </c>
      <c r="G118" s="6">
        <v>46097</v>
      </c>
      <c r="H118" t="s">
        <v>188</v>
      </c>
      <c r="I118" s="14">
        <v>46127.974039351851</v>
      </c>
    </row>
    <row r="119" spans="1:9" x14ac:dyDescent="0.35">
      <c r="A119" t="s">
        <v>418</v>
      </c>
      <c r="B119" t="s">
        <v>419</v>
      </c>
      <c r="C119" t="s">
        <v>236</v>
      </c>
      <c r="D119" t="s">
        <v>31</v>
      </c>
      <c r="E119" t="s">
        <v>139</v>
      </c>
      <c r="F119" s="12">
        <v>197936</v>
      </c>
      <c r="G119" s="6">
        <v>45841</v>
      </c>
      <c r="H119" t="s">
        <v>182</v>
      </c>
      <c r="I119" s="14">
        <v>46127.974039351851</v>
      </c>
    </row>
    <row r="120" spans="1:9" x14ac:dyDescent="0.35">
      <c r="A120" t="s">
        <v>420</v>
      </c>
      <c r="B120" t="s">
        <v>421</v>
      </c>
      <c r="C120" t="s">
        <v>279</v>
      </c>
      <c r="D120" t="s">
        <v>29</v>
      </c>
      <c r="E120" t="s">
        <v>116</v>
      </c>
      <c r="F120" s="12">
        <v>522017</v>
      </c>
      <c r="G120" s="6">
        <v>45453</v>
      </c>
      <c r="H120" t="s">
        <v>188</v>
      </c>
      <c r="I120" s="14">
        <v>46127.974039351851</v>
      </c>
    </row>
    <row r="121" spans="1:9" x14ac:dyDescent="0.35">
      <c r="A121" t="s">
        <v>422</v>
      </c>
      <c r="B121" t="s">
        <v>423</v>
      </c>
      <c r="C121" t="s">
        <v>201</v>
      </c>
      <c r="D121" t="s">
        <v>28</v>
      </c>
      <c r="E121" t="s">
        <v>156</v>
      </c>
      <c r="F121" s="12">
        <v>161230</v>
      </c>
      <c r="G121" s="6">
        <v>45979</v>
      </c>
      <c r="H121" t="s">
        <v>182</v>
      </c>
      <c r="I121" s="14">
        <v>46127.974039351851</v>
      </c>
    </row>
  </sheetData>
  <dataValidations count="1">
    <dataValidation type="list" allowBlank="1" showInputMessage="1" showErrorMessage="1" sqref="D2:D500" xr:uid="{A468FEA1-CF8E-460D-A543-66DA6D06C973}">
      <formula1>List_Pillars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02B9-5A14-4BE7-873C-38D6B3E8D65D}">
  <sheetPr codeName="Sheet6"/>
  <dimension ref="A1:L201"/>
  <sheetViews>
    <sheetView workbookViewId="0">
      <selection activeCell="F11" sqref="F11"/>
    </sheetView>
  </sheetViews>
  <sheetFormatPr defaultRowHeight="14.5" x14ac:dyDescent="0.35"/>
  <cols>
    <col min="1" max="1" width="15.54296875" customWidth="1"/>
    <col min="2" max="3" width="13.90625" customWidth="1"/>
    <col min="4" max="4" width="17.6328125" style="6" customWidth="1"/>
    <col min="5" max="5" width="21.08984375" customWidth="1"/>
    <col min="6" max="6" width="24.54296875" bestFit="1" customWidth="1"/>
    <col min="7" max="7" width="25.7265625" style="12" customWidth="1"/>
    <col min="8" max="8" width="23.1796875" style="12" customWidth="1"/>
    <col min="9" max="9" width="20.08984375" customWidth="1"/>
    <col min="10" max="10" width="19.54296875" customWidth="1"/>
    <col min="11" max="11" width="21.54296875" bestFit="1" customWidth="1"/>
    <col min="12" max="12" width="15.08984375" style="14" bestFit="1" customWidth="1"/>
  </cols>
  <sheetData>
    <row r="1" spans="1:12" x14ac:dyDescent="0.35">
      <c r="A1" s="20" t="s">
        <v>424</v>
      </c>
      <c r="B1" s="20" t="s">
        <v>171</v>
      </c>
      <c r="C1" s="20" t="s">
        <v>172</v>
      </c>
      <c r="D1" s="21" t="s">
        <v>425</v>
      </c>
      <c r="E1" s="20" t="s">
        <v>426</v>
      </c>
      <c r="F1" s="20" t="s">
        <v>427</v>
      </c>
      <c r="G1" s="22" t="s">
        <v>428</v>
      </c>
      <c r="H1" s="22" t="s">
        <v>429</v>
      </c>
      <c r="I1" s="20" t="s">
        <v>430</v>
      </c>
      <c r="J1" s="20" t="s">
        <v>431</v>
      </c>
      <c r="K1" s="20" t="s">
        <v>432</v>
      </c>
      <c r="L1" s="23" t="s">
        <v>56</v>
      </c>
    </row>
    <row r="2" spans="1:12" x14ac:dyDescent="0.35">
      <c r="A2" t="s">
        <v>433</v>
      </c>
      <c r="B2" t="s">
        <v>331</v>
      </c>
      <c r="C2" t="s">
        <v>235</v>
      </c>
      <c r="D2" s="6">
        <v>46001</v>
      </c>
      <c r="E2" t="s">
        <v>39</v>
      </c>
      <c r="F2" t="s">
        <v>434</v>
      </c>
      <c r="G2" s="12">
        <v>11859</v>
      </c>
      <c r="H2" s="12">
        <v>8934.7176714777943</v>
      </c>
      <c r="I2" t="s">
        <v>435</v>
      </c>
      <c r="J2" t="s">
        <v>436</v>
      </c>
      <c r="K2" t="s">
        <v>437</v>
      </c>
      <c r="L2" s="14">
        <v>46127.974039351851</v>
      </c>
    </row>
    <row r="3" spans="1:12" x14ac:dyDescent="0.35">
      <c r="A3" t="s">
        <v>438</v>
      </c>
      <c r="B3" t="s">
        <v>244</v>
      </c>
      <c r="C3" t="s">
        <v>439</v>
      </c>
      <c r="D3" s="6">
        <v>46118</v>
      </c>
      <c r="E3" t="s">
        <v>38</v>
      </c>
      <c r="F3" t="s">
        <v>440</v>
      </c>
      <c r="G3" s="12">
        <v>42598</v>
      </c>
      <c r="H3" s="12">
        <v>33278.808230912684</v>
      </c>
      <c r="I3" t="s">
        <v>435</v>
      </c>
      <c r="J3" t="s">
        <v>441</v>
      </c>
      <c r="K3" t="s">
        <v>442</v>
      </c>
      <c r="L3" s="14">
        <v>46127.974039351851</v>
      </c>
    </row>
    <row r="4" spans="1:12" x14ac:dyDescent="0.35">
      <c r="A4" t="s">
        <v>443</v>
      </c>
      <c r="B4" t="s">
        <v>179</v>
      </c>
      <c r="C4" t="s">
        <v>444</v>
      </c>
      <c r="D4" s="6">
        <v>46066</v>
      </c>
      <c r="E4" t="s">
        <v>38</v>
      </c>
      <c r="F4" t="s">
        <v>445</v>
      </c>
      <c r="G4" s="12">
        <v>35594</v>
      </c>
      <c r="H4" s="12">
        <v>0</v>
      </c>
      <c r="I4" t="s">
        <v>446</v>
      </c>
      <c r="J4" t="s">
        <v>447</v>
      </c>
      <c r="K4" t="s">
        <v>437</v>
      </c>
      <c r="L4" s="14">
        <v>46127.974039351851</v>
      </c>
    </row>
    <row r="5" spans="1:12" x14ac:dyDescent="0.35">
      <c r="A5" t="s">
        <v>448</v>
      </c>
      <c r="B5" t="s">
        <v>375</v>
      </c>
      <c r="C5" t="s">
        <v>449</v>
      </c>
      <c r="D5" s="6">
        <v>46041</v>
      </c>
      <c r="E5" t="s">
        <v>39</v>
      </c>
      <c r="F5" t="s">
        <v>450</v>
      </c>
      <c r="G5" s="12">
        <v>26473</v>
      </c>
      <c r="H5" s="12">
        <v>0</v>
      </c>
      <c r="I5" t="s">
        <v>446</v>
      </c>
      <c r="J5" t="s">
        <v>451</v>
      </c>
      <c r="K5" t="s">
        <v>452</v>
      </c>
      <c r="L5" s="14">
        <v>46127.974039351851</v>
      </c>
    </row>
    <row r="6" spans="1:12" x14ac:dyDescent="0.35">
      <c r="A6" t="s">
        <v>453</v>
      </c>
      <c r="B6" t="s">
        <v>292</v>
      </c>
      <c r="C6" t="s">
        <v>350</v>
      </c>
      <c r="D6" s="6">
        <v>46087</v>
      </c>
      <c r="E6" t="s">
        <v>37</v>
      </c>
      <c r="F6" t="s">
        <v>454</v>
      </c>
      <c r="G6" s="12">
        <v>31996</v>
      </c>
      <c r="H6" s="12">
        <v>29308.118864059448</v>
      </c>
      <c r="I6" t="s">
        <v>435</v>
      </c>
      <c r="J6" t="s">
        <v>455</v>
      </c>
      <c r="K6" t="s">
        <v>456</v>
      </c>
      <c r="L6" s="14">
        <v>46127.974039351851</v>
      </c>
    </row>
    <row r="7" spans="1:12" x14ac:dyDescent="0.35">
      <c r="A7" t="s">
        <v>457</v>
      </c>
      <c r="B7" t="s">
        <v>219</v>
      </c>
      <c r="C7" t="s">
        <v>458</v>
      </c>
      <c r="D7" s="6">
        <v>46094</v>
      </c>
      <c r="E7" t="s">
        <v>35</v>
      </c>
      <c r="F7" t="s">
        <v>450</v>
      </c>
      <c r="G7" s="12">
        <v>26524</v>
      </c>
      <c r="H7" s="12">
        <v>22255.750171303749</v>
      </c>
      <c r="I7" t="s">
        <v>435</v>
      </c>
      <c r="J7" t="s">
        <v>459</v>
      </c>
      <c r="K7" t="s">
        <v>442</v>
      </c>
      <c r="L7" s="14">
        <v>46127.974039351851</v>
      </c>
    </row>
    <row r="8" spans="1:12" x14ac:dyDescent="0.35">
      <c r="A8" t="s">
        <v>460</v>
      </c>
      <c r="B8" t="s">
        <v>367</v>
      </c>
      <c r="C8" t="s">
        <v>461</v>
      </c>
      <c r="D8" s="6">
        <v>46046</v>
      </c>
      <c r="E8" t="s">
        <v>38</v>
      </c>
      <c r="F8" t="s">
        <v>445</v>
      </c>
      <c r="G8" s="12">
        <v>46422</v>
      </c>
      <c r="H8" s="12">
        <v>38601.115711569786</v>
      </c>
      <c r="I8" t="s">
        <v>435</v>
      </c>
      <c r="J8" t="s">
        <v>462</v>
      </c>
      <c r="K8" t="s">
        <v>456</v>
      </c>
      <c r="L8" s="14">
        <v>46127.974039351851</v>
      </c>
    </row>
    <row r="9" spans="1:12" x14ac:dyDescent="0.35">
      <c r="A9" t="s">
        <v>463</v>
      </c>
      <c r="B9" t="s">
        <v>334</v>
      </c>
      <c r="C9" t="s">
        <v>421</v>
      </c>
      <c r="D9" s="6">
        <v>46028</v>
      </c>
      <c r="E9" t="s">
        <v>35</v>
      </c>
      <c r="F9" t="s">
        <v>445</v>
      </c>
      <c r="G9" s="12">
        <v>44709</v>
      </c>
      <c r="H9" s="12">
        <v>42644.798694974183</v>
      </c>
      <c r="I9" t="s">
        <v>435</v>
      </c>
      <c r="J9" t="s">
        <v>464</v>
      </c>
      <c r="K9" t="s">
        <v>437</v>
      </c>
      <c r="L9" s="14">
        <v>46127.974039351851</v>
      </c>
    </row>
    <row r="10" spans="1:12" x14ac:dyDescent="0.35">
      <c r="A10" t="s">
        <v>465</v>
      </c>
      <c r="B10" t="s">
        <v>327</v>
      </c>
      <c r="C10" t="s">
        <v>466</v>
      </c>
      <c r="D10" s="6">
        <v>45859</v>
      </c>
      <c r="E10" t="s">
        <v>36</v>
      </c>
      <c r="F10" t="s">
        <v>440</v>
      </c>
      <c r="G10" s="12">
        <v>42634</v>
      </c>
      <c r="H10" s="12">
        <v>0</v>
      </c>
      <c r="I10" t="s">
        <v>446</v>
      </c>
      <c r="J10" t="s">
        <v>467</v>
      </c>
      <c r="K10" t="s">
        <v>468</v>
      </c>
      <c r="L10" s="14">
        <v>46127.974039351851</v>
      </c>
    </row>
    <row r="11" spans="1:12" x14ac:dyDescent="0.35">
      <c r="A11" t="s">
        <v>469</v>
      </c>
      <c r="B11" t="s">
        <v>372</v>
      </c>
      <c r="C11" t="s">
        <v>470</v>
      </c>
      <c r="D11" s="6">
        <v>45867</v>
      </c>
      <c r="E11" t="s">
        <v>36</v>
      </c>
      <c r="F11" t="s">
        <v>434</v>
      </c>
      <c r="G11" s="12">
        <v>23267</v>
      </c>
      <c r="H11" s="12">
        <v>16567.281144988538</v>
      </c>
      <c r="I11" t="s">
        <v>435</v>
      </c>
      <c r="J11" t="s">
        <v>471</v>
      </c>
      <c r="K11" t="s">
        <v>437</v>
      </c>
      <c r="L11" s="14">
        <v>46127.974039351851</v>
      </c>
    </row>
    <row r="12" spans="1:12" x14ac:dyDescent="0.35">
      <c r="A12" t="s">
        <v>472</v>
      </c>
      <c r="B12" t="s">
        <v>239</v>
      </c>
      <c r="C12" t="s">
        <v>473</v>
      </c>
      <c r="D12" s="6">
        <v>45795</v>
      </c>
      <c r="E12" t="s">
        <v>39</v>
      </c>
      <c r="F12" t="s">
        <v>434</v>
      </c>
      <c r="G12" s="12">
        <v>31086</v>
      </c>
      <c r="H12" s="12">
        <v>24012.915069186685</v>
      </c>
      <c r="I12" t="s">
        <v>435</v>
      </c>
      <c r="J12" t="s">
        <v>474</v>
      </c>
      <c r="K12" t="s">
        <v>442</v>
      </c>
      <c r="L12" s="14">
        <v>46127.974039351851</v>
      </c>
    </row>
    <row r="13" spans="1:12" x14ac:dyDescent="0.35">
      <c r="A13" t="s">
        <v>475</v>
      </c>
      <c r="B13" t="s">
        <v>199</v>
      </c>
      <c r="C13" t="s">
        <v>398</v>
      </c>
      <c r="D13" s="6">
        <v>45818</v>
      </c>
      <c r="E13" t="s">
        <v>38</v>
      </c>
      <c r="F13" t="s">
        <v>445</v>
      </c>
      <c r="G13" s="12">
        <v>35260</v>
      </c>
      <c r="H13" s="12">
        <v>32226.46512174606</v>
      </c>
      <c r="I13" t="s">
        <v>435</v>
      </c>
      <c r="J13" t="s">
        <v>476</v>
      </c>
      <c r="K13" t="s">
        <v>442</v>
      </c>
      <c r="L13" s="14">
        <v>46127.974039351851</v>
      </c>
    </row>
    <row r="14" spans="1:12" x14ac:dyDescent="0.35">
      <c r="A14" t="s">
        <v>477</v>
      </c>
      <c r="B14" t="s">
        <v>311</v>
      </c>
      <c r="C14" t="s">
        <v>478</v>
      </c>
      <c r="D14" s="6">
        <v>45920</v>
      </c>
      <c r="E14" t="s">
        <v>38</v>
      </c>
      <c r="F14" t="s">
        <v>440</v>
      </c>
      <c r="G14" s="12">
        <v>44039</v>
      </c>
      <c r="H14" s="12">
        <v>39350.900779896969</v>
      </c>
      <c r="I14" t="s">
        <v>435</v>
      </c>
      <c r="J14" t="s">
        <v>479</v>
      </c>
      <c r="K14" t="s">
        <v>437</v>
      </c>
      <c r="L14" s="14">
        <v>46127.974039351851</v>
      </c>
    </row>
    <row r="15" spans="1:12" x14ac:dyDescent="0.35">
      <c r="A15" t="s">
        <v>480</v>
      </c>
      <c r="B15" t="s">
        <v>264</v>
      </c>
      <c r="C15" t="s">
        <v>299</v>
      </c>
      <c r="D15" s="6">
        <v>45915</v>
      </c>
      <c r="E15" t="s">
        <v>38</v>
      </c>
      <c r="F15" t="s">
        <v>450</v>
      </c>
      <c r="G15" s="12">
        <v>39979</v>
      </c>
      <c r="H15" s="12">
        <v>0</v>
      </c>
      <c r="I15" t="s">
        <v>446</v>
      </c>
      <c r="J15" t="s">
        <v>481</v>
      </c>
      <c r="K15" t="s">
        <v>452</v>
      </c>
      <c r="L15" s="14">
        <v>46127.974039351851</v>
      </c>
    </row>
    <row r="16" spans="1:12" x14ac:dyDescent="0.35">
      <c r="A16" t="s">
        <v>482</v>
      </c>
      <c r="B16" t="s">
        <v>365</v>
      </c>
      <c r="C16" t="s">
        <v>483</v>
      </c>
      <c r="D16" s="6">
        <v>45865</v>
      </c>
      <c r="E16" t="s">
        <v>39</v>
      </c>
      <c r="F16" t="s">
        <v>434</v>
      </c>
      <c r="G16" s="12">
        <v>39372</v>
      </c>
      <c r="H16" s="12">
        <v>29824.973562526702</v>
      </c>
      <c r="I16" t="s">
        <v>435</v>
      </c>
      <c r="J16" t="s">
        <v>484</v>
      </c>
      <c r="K16" t="s">
        <v>442</v>
      </c>
      <c r="L16" s="14">
        <v>46127.974039351851</v>
      </c>
    </row>
    <row r="17" spans="1:12" x14ac:dyDescent="0.35">
      <c r="A17" t="s">
        <v>485</v>
      </c>
      <c r="B17" t="s">
        <v>234</v>
      </c>
      <c r="C17" t="s">
        <v>486</v>
      </c>
      <c r="D17" s="6">
        <v>46121</v>
      </c>
      <c r="E17" t="s">
        <v>37</v>
      </c>
      <c r="F17" t="s">
        <v>440</v>
      </c>
      <c r="G17" s="12">
        <v>43312</v>
      </c>
      <c r="H17" s="12">
        <v>32990.34682626724</v>
      </c>
      <c r="I17" t="s">
        <v>435</v>
      </c>
      <c r="J17" t="s">
        <v>487</v>
      </c>
      <c r="K17" t="s">
        <v>488</v>
      </c>
      <c r="L17" s="14">
        <v>46127.974039351851</v>
      </c>
    </row>
    <row r="18" spans="1:12" x14ac:dyDescent="0.35">
      <c r="A18" t="s">
        <v>489</v>
      </c>
      <c r="B18" t="s">
        <v>234</v>
      </c>
      <c r="C18" t="s">
        <v>490</v>
      </c>
      <c r="D18" s="6">
        <v>46026</v>
      </c>
      <c r="E18" t="s">
        <v>38</v>
      </c>
      <c r="F18" t="s">
        <v>434</v>
      </c>
      <c r="G18" s="12">
        <v>29897</v>
      </c>
      <c r="H18" s="12">
        <v>0</v>
      </c>
      <c r="I18" t="s">
        <v>446</v>
      </c>
      <c r="J18" t="s">
        <v>491</v>
      </c>
      <c r="K18" t="s">
        <v>488</v>
      </c>
      <c r="L18" s="14">
        <v>46127.974039351851</v>
      </c>
    </row>
    <row r="19" spans="1:12" x14ac:dyDescent="0.35">
      <c r="A19" t="s">
        <v>492</v>
      </c>
      <c r="B19" t="s">
        <v>341</v>
      </c>
      <c r="C19" t="s">
        <v>493</v>
      </c>
      <c r="D19" s="6">
        <v>45942</v>
      </c>
      <c r="E19" t="s">
        <v>38</v>
      </c>
      <c r="F19" t="s">
        <v>454</v>
      </c>
      <c r="G19" s="12">
        <v>44034</v>
      </c>
      <c r="H19" s="12">
        <v>0</v>
      </c>
      <c r="I19" t="s">
        <v>446</v>
      </c>
      <c r="J19" t="s">
        <v>494</v>
      </c>
      <c r="K19" t="s">
        <v>456</v>
      </c>
      <c r="L19" s="14">
        <v>46127.974039351851</v>
      </c>
    </row>
    <row r="20" spans="1:12" x14ac:dyDescent="0.35">
      <c r="A20" t="s">
        <v>495</v>
      </c>
      <c r="B20" t="s">
        <v>403</v>
      </c>
      <c r="C20" t="s">
        <v>496</v>
      </c>
      <c r="D20" s="6">
        <v>46027</v>
      </c>
      <c r="E20" t="s">
        <v>37</v>
      </c>
      <c r="F20" t="s">
        <v>445</v>
      </c>
      <c r="G20" s="12">
        <v>10811</v>
      </c>
      <c r="H20" s="12">
        <v>7913.5708640933035</v>
      </c>
      <c r="I20" t="s">
        <v>435</v>
      </c>
      <c r="J20" t="s">
        <v>497</v>
      </c>
      <c r="K20" t="s">
        <v>488</v>
      </c>
      <c r="L20" s="14">
        <v>46127.974039351851</v>
      </c>
    </row>
    <row r="21" spans="1:12" x14ac:dyDescent="0.35">
      <c r="A21" t="s">
        <v>498</v>
      </c>
      <c r="B21" t="s">
        <v>288</v>
      </c>
      <c r="C21" t="s">
        <v>499</v>
      </c>
      <c r="D21" s="6">
        <v>46031</v>
      </c>
      <c r="E21" t="s">
        <v>39</v>
      </c>
      <c r="F21" t="s">
        <v>440</v>
      </c>
      <c r="G21" s="12">
        <v>25250</v>
      </c>
      <c r="H21" s="12">
        <v>23235.645289719105</v>
      </c>
      <c r="I21" t="s">
        <v>435</v>
      </c>
      <c r="J21" t="s">
        <v>500</v>
      </c>
      <c r="K21" t="s">
        <v>452</v>
      </c>
      <c r="L21" s="14">
        <v>46127.974039351851</v>
      </c>
    </row>
    <row r="22" spans="1:12" x14ac:dyDescent="0.35">
      <c r="A22" t="s">
        <v>501</v>
      </c>
      <c r="B22" t="s">
        <v>374</v>
      </c>
      <c r="C22" t="s">
        <v>400</v>
      </c>
      <c r="D22" s="6">
        <v>45993</v>
      </c>
      <c r="E22" t="s">
        <v>36</v>
      </c>
      <c r="F22" t="s">
        <v>450</v>
      </c>
      <c r="G22" s="12">
        <v>38307</v>
      </c>
      <c r="H22" s="12">
        <v>38038.199152350426</v>
      </c>
      <c r="I22" t="s">
        <v>435</v>
      </c>
      <c r="J22" t="s">
        <v>502</v>
      </c>
      <c r="K22" t="s">
        <v>437</v>
      </c>
      <c r="L22" s="14">
        <v>46127.974039351851</v>
      </c>
    </row>
    <row r="23" spans="1:12" x14ac:dyDescent="0.35">
      <c r="A23" t="s">
        <v>503</v>
      </c>
      <c r="B23" t="s">
        <v>296</v>
      </c>
      <c r="C23" t="s">
        <v>197</v>
      </c>
      <c r="D23" s="6">
        <v>45784</v>
      </c>
      <c r="E23" t="s">
        <v>39</v>
      </c>
      <c r="F23" t="s">
        <v>445</v>
      </c>
      <c r="G23" s="12">
        <v>20409</v>
      </c>
      <c r="H23" s="12">
        <v>20200.829055422542</v>
      </c>
      <c r="I23" t="s">
        <v>435</v>
      </c>
      <c r="J23" t="s">
        <v>504</v>
      </c>
      <c r="K23" t="s">
        <v>437</v>
      </c>
      <c r="L23" s="14">
        <v>46127.974039351851</v>
      </c>
    </row>
    <row r="24" spans="1:12" x14ac:dyDescent="0.35">
      <c r="A24" t="s">
        <v>505</v>
      </c>
      <c r="B24" t="s">
        <v>401</v>
      </c>
      <c r="C24" t="s">
        <v>395</v>
      </c>
      <c r="D24" s="6">
        <v>46020</v>
      </c>
      <c r="E24" t="s">
        <v>35</v>
      </c>
      <c r="F24" t="s">
        <v>445</v>
      </c>
      <c r="G24" s="12">
        <v>27494</v>
      </c>
      <c r="H24" s="12">
        <v>0</v>
      </c>
      <c r="I24" t="s">
        <v>446</v>
      </c>
      <c r="J24" t="s">
        <v>506</v>
      </c>
      <c r="K24" t="s">
        <v>456</v>
      </c>
      <c r="L24" s="14">
        <v>46127.974039351851</v>
      </c>
    </row>
    <row r="25" spans="1:12" x14ac:dyDescent="0.35">
      <c r="A25" t="s">
        <v>507</v>
      </c>
      <c r="B25" t="s">
        <v>239</v>
      </c>
      <c r="C25" t="s">
        <v>508</v>
      </c>
      <c r="D25" s="6">
        <v>45960</v>
      </c>
      <c r="E25" t="s">
        <v>38</v>
      </c>
      <c r="F25" t="s">
        <v>454</v>
      </c>
      <c r="G25" s="12">
        <v>11255</v>
      </c>
      <c r="H25" s="12">
        <v>0</v>
      </c>
      <c r="I25" t="s">
        <v>446</v>
      </c>
      <c r="J25" t="s">
        <v>509</v>
      </c>
      <c r="K25" t="s">
        <v>452</v>
      </c>
      <c r="L25" s="14">
        <v>46127.974039351851</v>
      </c>
    </row>
    <row r="26" spans="1:12" x14ac:dyDescent="0.35">
      <c r="A26" t="s">
        <v>510</v>
      </c>
      <c r="B26" t="s">
        <v>282</v>
      </c>
      <c r="C26" t="s">
        <v>470</v>
      </c>
      <c r="D26" s="6">
        <v>45781</v>
      </c>
      <c r="E26" t="s">
        <v>39</v>
      </c>
      <c r="F26" t="s">
        <v>450</v>
      </c>
      <c r="G26" s="12">
        <v>15638</v>
      </c>
      <c r="H26" s="12">
        <v>11014.542632651328</v>
      </c>
      <c r="I26" t="s">
        <v>435</v>
      </c>
      <c r="J26" t="s">
        <v>511</v>
      </c>
      <c r="K26" t="s">
        <v>468</v>
      </c>
      <c r="L26" s="14">
        <v>46127.974039351851</v>
      </c>
    </row>
    <row r="27" spans="1:12" x14ac:dyDescent="0.35">
      <c r="A27" t="s">
        <v>512</v>
      </c>
      <c r="B27" t="s">
        <v>262</v>
      </c>
      <c r="C27" t="s">
        <v>513</v>
      </c>
      <c r="D27" s="6">
        <v>45942</v>
      </c>
      <c r="E27" t="s">
        <v>36</v>
      </c>
      <c r="F27" t="s">
        <v>445</v>
      </c>
      <c r="G27" s="12">
        <v>28680</v>
      </c>
      <c r="H27" s="12">
        <v>24779.976556062698</v>
      </c>
      <c r="I27" t="s">
        <v>435</v>
      </c>
      <c r="J27" t="s">
        <v>514</v>
      </c>
      <c r="K27" t="s">
        <v>456</v>
      </c>
      <c r="L27" s="14">
        <v>46127.974039351851</v>
      </c>
    </row>
    <row r="28" spans="1:12" x14ac:dyDescent="0.35">
      <c r="A28" t="s">
        <v>515</v>
      </c>
      <c r="B28" t="s">
        <v>406</v>
      </c>
      <c r="C28" t="s">
        <v>516</v>
      </c>
      <c r="D28" s="6">
        <v>45787</v>
      </c>
      <c r="E28" t="s">
        <v>34</v>
      </c>
      <c r="F28" t="s">
        <v>440</v>
      </c>
      <c r="G28" s="12">
        <v>1940</v>
      </c>
      <c r="H28" s="12">
        <v>0</v>
      </c>
      <c r="I28" t="s">
        <v>446</v>
      </c>
      <c r="J28" t="s">
        <v>517</v>
      </c>
      <c r="K28" t="s">
        <v>456</v>
      </c>
      <c r="L28" s="14">
        <v>46127.974039351851</v>
      </c>
    </row>
    <row r="29" spans="1:12" x14ac:dyDescent="0.35">
      <c r="A29" t="s">
        <v>518</v>
      </c>
      <c r="B29" t="s">
        <v>329</v>
      </c>
      <c r="C29" t="s">
        <v>303</v>
      </c>
      <c r="D29" s="6">
        <v>45763</v>
      </c>
      <c r="E29" t="s">
        <v>36</v>
      </c>
      <c r="F29" t="s">
        <v>445</v>
      </c>
      <c r="G29" s="12">
        <v>16678</v>
      </c>
      <c r="H29" s="12">
        <v>16533.953917860985</v>
      </c>
      <c r="I29" t="s">
        <v>435</v>
      </c>
      <c r="J29" t="s">
        <v>519</v>
      </c>
      <c r="K29" t="s">
        <v>452</v>
      </c>
      <c r="L29" s="14">
        <v>46127.974039351851</v>
      </c>
    </row>
    <row r="30" spans="1:12" x14ac:dyDescent="0.35">
      <c r="A30" t="s">
        <v>520</v>
      </c>
      <c r="B30" t="s">
        <v>381</v>
      </c>
      <c r="C30" t="s">
        <v>466</v>
      </c>
      <c r="D30" s="6">
        <v>45789</v>
      </c>
      <c r="E30" t="s">
        <v>35</v>
      </c>
      <c r="F30" t="s">
        <v>434</v>
      </c>
      <c r="G30" s="12">
        <v>36028</v>
      </c>
      <c r="H30" s="12">
        <v>32970.070046019551</v>
      </c>
      <c r="I30" t="s">
        <v>435</v>
      </c>
      <c r="J30" t="s">
        <v>521</v>
      </c>
      <c r="K30" t="s">
        <v>468</v>
      </c>
      <c r="L30" s="14">
        <v>46127.974039351851</v>
      </c>
    </row>
    <row r="31" spans="1:12" x14ac:dyDescent="0.35">
      <c r="A31" t="s">
        <v>522</v>
      </c>
      <c r="B31" t="s">
        <v>420</v>
      </c>
      <c r="C31" t="s">
        <v>523</v>
      </c>
      <c r="D31" s="6">
        <v>45781</v>
      </c>
      <c r="E31" t="s">
        <v>35</v>
      </c>
      <c r="F31" t="s">
        <v>450</v>
      </c>
      <c r="G31" s="12">
        <v>49424</v>
      </c>
      <c r="H31" s="12">
        <v>37449.408024978635</v>
      </c>
      <c r="I31" t="s">
        <v>435</v>
      </c>
      <c r="J31" t="s">
        <v>524</v>
      </c>
      <c r="K31" t="s">
        <v>468</v>
      </c>
      <c r="L31" s="14">
        <v>46127.974039351851</v>
      </c>
    </row>
    <row r="32" spans="1:12" x14ac:dyDescent="0.35">
      <c r="A32" t="s">
        <v>525</v>
      </c>
      <c r="B32" t="s">
        <v>290</v>
      </c>
      <c r="C32" t="s">
        <v>289</v>
      </c>
      <c r="D32" s="6">
        <v>46088</v>
      </c>
      <c r="E32" t="s">
        <v>39</v>
      </c>
      <c r="F32" t="s">
        <v>450</v>
      </c>
      <c r="G32" s="12">
        <v>12124</v>
      </c>
      <c r="H32" s="12">
        <v>10482.923295903205</v>
      </c>
      <c r="I32" t="s">
        <v>435</v>
      </c>
      <c r="J32" t="s">
        <v>526</v>
      </c>
      <c r="K32" t="s">
        <v>437</v>
      </c>
      <c r="L32" s="14">
        <v>46127.974039351851</v>
      </c>
    </row>
    <row r="33" spans="1:12" x14ac:dyDescent="0.35">
      <c r="A33" t="s">
        <v>527</v>
      </c>
      <c r="B33" t="s">
        <v>226</v>
      </c>
      <c r="C33" t="s">
        <v>528</v>
      </c>
      <c r="D33" s="6">
        <v>45953</v>
      </c>
      <c r="E33" t="s">
        <v>37</v>
      </c>
      <c r="F33" t="s">
        <v>440</v>
      </c>
      <c r="G33" s="12">
        <v>16730</v>
      </c>
      <c r="H33" s="12">
        <v>14121.058846354485</v>
      </c>
      <c r="I33" t="s">
        <v>435</v>
      </c>
      <c r="J33" t="s">
        <v>529</v>
      </c>
      <c r="K33" t="s">
        <v>452</v>
      </c>
      <c r="L33" s="14">
        <v>46127.974039351851</v>
      </c>
    </row>
    <row r="34" spans="1:12" x14ac:dyDescent="0.35">
      <c r="A34" t="s">
        <v>530</v>
      </c>
      <c r="B34" t="s">
        <v>302</v>
      </c>
      <c r="C34" t="s">
        <v>206</v>
      </c>
      <c r="D34" s="6">
        <v>45980</v>
      </c>
      <c r="E34" t="s">
        <v>34</v>
      </c>
      <c r="F34" t="s">
        <v>454</v>
      </c>
      <c r="G34" s="12">
        <v>7800</v>
      </c>
      <c r="H34" s="12">
        <v>5772.4927461147308</v>
      </c>
      <c r="I34" t="s">
        <v>435</v>
      </c>
      <c r="J34" t="s">
        <v>531</v>
      </c>
      <c r="K34" t="s">
        <v>437</v>
      </c>
      <c r="L34" s="14">
        <v>46127.974039351851</v>
      </c>
    </row>
    <row r="35" spans="1:12" x14ac:dyDescent="0.35">
      <c r="A35" t="s">
        <v>532</v>
      </c>
      <c r="B35" t="s">
        <v>244</v>
      </c>
      <c r="C35" t="s">
        <v>533</v>
      </c>
      <c r="D35" s="6">
        <v>45868</v>
      </c>
      <c r="E35" t="s">
        <v>36</v>
      </c>
      <c r="F35" t="s">
        <v>440</v>
      </c>
      <c r="G35" s="12">
        <v>15826</v>
      </c>
      <c r="H35" s="12">
        <v>14081.79104757309</v>
      </c>
      <c r="I35" t="s">
        <v>435</v>
      </c>
      <c r="J35" t="s">
        <v>534</v>
      </c>
      <c r="K35" t="s">
        <v>442</v>
      </c>
      <c r="L35" s="14">
        <v>46127.974039351851</v>
      </c>
    </row>
    <row r="36" spans="1:12" x14ac:dyDescent="0.35">
      <c r="A36" t="s">
        <v>535</v>
      </c>
      <c r="B36" t="s">
        <v>286</v>
      </c>
      <c r="C36" t="s">
        <v>536</v>
      </c>
      <c r="D36" s="6">
        <v>45819</v>
      </c>
      <c r="E36" t="s">
        <v>34</v>
      </c>
      <c r="F36" t="s">
        <v>450</v>
      </c>
      <c r="G36" s="12">
        <v>31856</v>
      </c>
      <c r="H36" s="12">
        <v>27455.545298099518</v>
      </c>
      <c r="I36" t="s">
        <v>435</v>
      </c>
      <c r="J36" t="s">
        <v>537</v>
      </c>
      <c r="K36" t="s">
        <v>468</v>
      </c>
      <c r="L36" s="14">
        <v>46127.974039351851</v>
      </c>
    </row>
    <row r="37" spans="1:12" x14ac:dyDescent="0.35">
      <c r="A37" t="s">
        <v>538</v>
      </c>
      <c r="B37" t="s">
        <v>251</v>
      </c>
      <c r="C37" t="s">
        <v>393</v>
      </c>
      <c r="D37" s="6">
        <v>45856</v>
      </c>
      <c r="E37" t="s">
        <v>36</v>
      </c>
      <c r="F37" t="s">
        <v>445</v>
      </c>
      <c r="G37" s="12">
        <v>3989</v>
      </c>
      <c r="H37" s="12">
        <v>0</v>
      </c>
      <c r="I37" t="s">
        <v>446</v>
      </c>
      <c r="J37" t="s">
        <v>539</v>
      </c>
      <c r="K37" t="s">
        <v>437</v>
      </c>
      <c r="L37" s="14">
        <v>46127.974039351851</v>
      </c>
    </row>
    <row r="38" spans="1:12" x14ac:dyDescent="0.35">
      <c r="A38" t="s">
        <v>540</v>
      </c>
      <c r="B38" t="s">
        <v>262</v>
      </c>
      <c r="C38" t="s">
        <v>378</v>
      </c>
      <c r="D38" s="6">
        <v>45990</v>
      </c>
      <c r="E38" t="s">
        <v>37</v>
      </c>
      <c r="F38" t="s">
        <v>440</v>
      </c>
      <c r="G38" s="12">
        <v>12381</v>
      </c>
      <c r="H38" s="12">
        <v>10294.485131406784</v>
      </c>
      <c r="I38" t="s">
        <v>435</v>
      </c>
      <c r="J38" t="s">
        <v>541</v>
      </c>
      <c r="K38" t="s">
        <v>488</v>
      </c>
      <c r="L38" s="14">
        <v>46127.974039351851</v>
      </c>
    </row>
    <row r="39" spans="1:12" x14ac:dyDescent="0.35">
      <c r="A39" t="s">
        <v>542</v>
      </c>
      <c r="B39" t="s">
        <v>401</v>
      </c>
      <c r="C39" t="s">
        <v>543</v>
      </c>
      <c r="D39" s="6">
        <v>46009</v>
      </c>
      <c r="E39" t="s">
        <v>36</v>
      </c>
      <c r="F39" t="s">
        <v>450</v>
      </c>
      <c r="G39" s="12">
        <v>8965</v>
      </c>
      <c r="H39" s="12">
        <v>7749.6606230437756</v>
      </c>
      <c r="I39" t="s">
        <v>435</v>
      </c>
      <c r="J39" t="s">
        <v>544</v>
      </c>
      <c r="K39" t="s">
        <v>437</v>
      </c>
      <c r="L39" s="14">
        <v>46127.974039351851</v>
      </c>
    </row>
    <row r="40" spans="1:12" x14ac:dyDescent="0.35">
      <c r="A40" t="s">
        <v>545</v>
      </c>
      <c r="B40" t="s">
        <v>261</v>
      </c>
      <c r="C40" t="s">
        <v>289</v>
      </c>
      <c r="D40" s="6">
        <v>45796</v>
      </c>
      <c r="E40" t="s">
        <v>36</v>
      </c>
      <c r="F40" t="s">
        <v>454</v>
      </c>
      <c r="G40" s="12">
        <v>11215</v>
      </c>
      <c r="H40" s="12">
        <v>0</v>
      </c>
      <c r="I40" t="s">
        <v>446</v>
      </c>
      <c r="J40" t="s">
        <v>546</v>
      </c>
      <c r="K40" t="s">
        <v>456</v>
      </c>
      <c r="L40" s="14">
        <v>46127.974039351851</v>
      </c>
    </row>
    <row r="41" spans="1:12" x14ac:dyDescent="0.35">
      <c r="A41" t="s">
        <v>547</v>
      </c>
      <c r="B41" t="s">
        <v>336</v>
      </c>
      <c r="C41" t="s">
        <v>312</v>
      </c>
      <c r="D41" s="6">
        <v>45893</v>
      </c>
      <c r="E41" t="s">
        <v>35</v>
      </c>
      <c r="F41" t="s">
        <v>454</v>
      </c>
      <c r="G41" s="12">
        <v>36633</v>
      </c>
      <c r="H41" s="12">
        <v>33659.837008237839</v>
      </c>
      <c r="I41" t="s">
        <v>435</v>
      </c>
      <c r="J41" t="s">
        <v>548</v>
      </c>
      <c r="K41" t="s">
        <v>488</v>
      </c>
      <c r="L41" s="14">
        <v>46127.974039351851</v>
      </c>
    </row>
    <row r="42" spans="1:12" x14ac:dyDescent="0.35">
      <c r="A42" t="s">
        <v>549</v>
      </c>
      <c r="B42" t="s">
        <v>189</v>
      </c>
      <c r="C42" t="s">
        <v>550</v>
      </c>
      <c r="D42" s="6">
        <v>46016</v>
      </c>
      <c r="E42" t="s">
        <v>38</v>
      </c>
      <c r="F42" t="s">
        <v>445</v>
      </c>
      <c r="G42" s="12">
        <v>49563</v>
      </c>
      <c r="H42" s="12">
        <v>41900.538615542646</v>
      </c>
      <c r="I42" t="s">
        <v>435</v>
      </c>
      <c r="J42" t="s">
        <v>551</v>
      </c>
      <c r="K42" t="s">
        <v>442</v>
      </c>
      <c r="L42" s="14">
        <v>46127.974039351851</v>
      </c>
    </row>
    <row r="43" spans="1:12" x14ac:dyDescent="0.35">
      <c r="A43" t="s">
        <v>552</v>
      </c>
      <c r="B43" t="s">
        <v>189</v>
      </c>
      <c r="C43" t="s">
        <v>371</v>
      </c>
      <c r="D43" s="6">
        <v>46102</v>
      </c>
      <c r="E43" t="s">
        <v>38</v>
      </c>
      <c r="F43" t="s">
        <v>445</v>
      </c>
      <c r="G43" s="12">
        <v>10885</v>
      </c>
      <c r="H43" s="12">
        <v>8964.6121445298195</v>
      </c>
      <c r="I43" t="s">
        <v>435</v>
      </c>
      <c r="J43" t="s">
        <v>553</v>
      </c>
      <c r="K43" t="s">
        <v>468</v>
      </c>
      <c r="L43" s="14">
        <v>46127.974039351851</v>
      </c>
    </row>
    <row r="44" spans="1:12" x14ac:dyDescent="0.35">
      <c r="A44" t="s">
        <v>554</v>
      </c>
      <c r="B44" t="s">
        <v>329</v>
      </c>
      <c r="C44" t="s">
        <v>555</v>
      </c>
      <c r="D44" s="6">
        <v>45983</v>
      </c>
      <c r="E44" t="s">
        <v>36</v>
      </c>
      <c r="F44" t="s">
        <v>440</v>
      </c>
      <c r="G44" s="12">
        <v>13363</v>
      </c>
      <c r="H44" s="12">
        <v>0</v>
      </c>
      <c r="I44" t="s">
        <v>446</v>
      </c>
      <c r="J44" t="s">
        <v>556</v>
      </c>
      <c r="K44" t="s">
        <v>468</v>
      </c>
      <c r="L44" s="14">
        <v>46127.974039351851</v>
      </c>
    </row>
    <row r="45" spans="1:12" x14ac:dyDescent="0.35">
      <c r="A45" t="s">
        <v>557</v>
      </c>
      <c r="B45" t="s">
        <v>306</v>
      </c>
      <c r="C45" t="s">
        <v>247</v>
      </c>
      <c r="D45" s="6">
        <v>46103</v>
      </c>
      <c r="E45" t="s">
        <v>38</v>
      </c>
      <c r="F45" t="s">
        <v>454</v>
      </c>
      <c r="G45" s="12">
        <v>23962</v>
      </c>
      <c r="H45" s="12">
        <v>16812.520100057125</v>
      </c>
      <c r="I45" t="s">
        <v>435</v>
      </c>
      <c r="J45" t="s">
        <v>558</v>
      </c>
      <c r="K45" t="s">
        <v>437</v>
      </c>
      <c r="L45" s="14">
        <v>46127.974039351851</v>
      </c>
    </row>
    <row r="46" spans="1:12" x14ac:dyDescent="0.35">
      <c r="A46" t="s">
        <v>559</v>
      </c>
      <c r="B46" t="s">
        <v>370</v>
      </c>
      <c r="C46" t="s">
        <v>330</v>
      </c>
      <c r="D46" s="6">
        <v>45896</v>
      </c>
      <c r="E46" t="s">
        <v>34</v>
      </c>
      <c r="F46" t="s">
        <v>434</v>
      </c>
      <c r="G46" s="12">
        <v>4561</v>
      </c>
      <c r="H46" s="12">
        <v>0</v>
      </c>
      <c r="I46" t="s">
        <v>446</v>
      </c>
      <c r="J46" t="s">
        <v>560</v>
      </c>
      <c r="K46" t="s">
        <v>468</v>
      </c>
      <c r="L46" s="14">
        <v>46127.974039351851</v>
      </c>
    </row>
    <row r="47" spans="1:12" x14ac:dyDescent="0.35">
      <c r="A47" t="s">
        <v>561</v>
      </c>
      <c r="B47" t="s">
        <v>189</v>
      </c>
      <c r="C47" t="s">
        <v>562</v>
      </c>
      <c r="D47" s="6">
        <v>45909</v>
      </c>
      <c r="E47" t="s">
        <v>34</v>
      </c>
      <c r="F47" t="s">
        <v>450</v>
      </c>
      <c r="G47" s="12">
        <v>24481</v>
      </c>
      <c r="H47" s="12">
        <v>23700.175738859176</v>
      </c>
      <c r="I47" t="s">
        <v>435</v>
      </c>
      <c r="J47" t="s">
        <v>563</v>
      </c>
      <c r="K47" t="s">
        <v>468</v>
      </c>
      <c r="L47" s="14">
        <v>46127.974039351851</v>
      </c>
    </row>
    <row r="48" spans="1:12" x14ac:dyDescent="0.35">
      <c r="A48" t="s">
        <v>564</v>
      </c>
      <c r="B48" t="s">
        <v>396</v>
      </c>
      <c r="C48" t="s">
        <v>565</v>
      </c>
      <c r="D48" s="6">
        <v>45803</v>
      </c>
      <c r="E48" t="s">
        <v>34</v>
      </c>
      <c r="F48" t="s">
        <v>434</v>
      </c>
      <c r="G48" s="12">
        <v>2475</v>
      </c>
      <c r="H48" s="12">
        <v>2301.7726917564869</v>
      </c>
      <c r="I48" t="s">
        <v>435</v>
      </c>
      <c r="J48" t="s">
        <v>566</v>
      </c>
      <c r="K48" t="s">
        <v>452</v>
      </c>
      <c r="L48" s="14">
        <v>46127.974039351851</v>
      </c>
    </row>
    <row r="49" spans="1:12" x14ac:dyDescent="0.35">
      <c r="A49" t="s">
        <v>567</v>
      </c>
      <c r="B49" t="s">
        <v>363</v>
      </c>
      <c r="C49" t="s">
        <v>568</v>
      </c>
      <c r="D49" s="6">
        <v>46125</v>
      </c>
      <c r="E49" t="s">
        <v>35</v>
      </c>
      <c r="F49" t="s">
        <v>454</v>
      </c>
      <c r="G49" s="12">
        <v>43806</v>
      </c>
      <c r="H49" s="12">
        <v>32330.103211569785</v>
      </c>
      <c r="I49" t="s">
        <v>435</v>
      </c>
      <c r="J49" t="s">
        <v>569</v>
      </c>
      <c r="K49" t="s">
        <v>488</v>
      </c>
      <c r="L49" s="14">
        <v>46127.974039351851</v>
      </c>
    </row>
    <row r="50" spans="1:12" x14ac:dyDescent="0.35">
      <c r="A50" t="s">
        <v>570</v>
      </c>
      <c r="B50" t="s">
        <v>383</v>
      </c>
      <c r="C50" t="s">
        <v>550</v>
      </c>
      <c r="D50" s="6">
        <v>46055</v>
      </c>
      <c r="E50" t="s">
        <v>38</v>
      </c>
      <c r="F50" t="s">
        <v>434</v>
      </c>
      <c r="G50" s="12">
        <v>19765</v>
      </c>
      <c r="H50" s="12">
        <v>14737.20887711644</v>
      </c>
      <c r="I50" t="s">
        <v>435</v>
      </c>
      <c r="J50" t="s">
        <v>571</v>
      </c>
      <c r="K50" t="s">
        <v>437</v>
      </c>
      <c r="L50" s="14">
        <v>46127.974039351851</v>
      </c>
    </row>
    <row r="51" spans="1:12" x14ac:dyDescent="0.35">
      <c r="A51" t="s">
        <v>572</v>
      </c>
      <c r="B51" t="s">
        <v>269</v>
      </c>
      <c r="C51" t="s">
        <v>253</v>
      </c>
      <c r="D51" s="6">
        <v>45975</v>
      </c>
      <c r="E51" t="s">
        <v>36</v>
      </c>
      <c r="F51" t="s">
        <v>440</v>
      </c>
      <c r="G51" s="12">
        <v>8588</v>
      </c>
      <c r="H51" s="12">
        <v>7695.2499646186825</v>
      </c>
      <c r="I51" t="s">
        <v>435</v>
      </c>
      <c r="J51" t="s">
        <v>573</v>
      </c>
      <c r="K51" t="s">
        <v>488</v>
      </c>
      <c r="L51" s="14">
        <v>46127.974039351851</v>
      </c>
    </row>
    <row r="52" spans="1:12" x14ac:dyDescent="0.35">
      <c r="A52" t="s">
        <v>574</v>
      </c>
      <c r="B52" t="s">
        <v>273</v>
      </c>
      <c r="C52" t="s">
        <v>299</v>
      </c>
      <c r="D52" s="6">
        <v>46109</v>
      </c>
      <c r="E52" t="s">
        <v>34</v>
      </c>
      <c r="F52" t="s">
        <v>445</v>
      </c>
      <c r="G52" s="12">
        <v>10338</v>
      </c>
      <c r="H52" s="12">
        <v>8120.3981489539137</v>
      </c>
      <c r="I52" t="s">
        <v>435</v>
      </c>
      <c r="J52" t="s">
        <v>575</v>
      </c>
      <c r="K52" t="s">
        <v>442</v>
      </c>
      <c r="L52" s="14">
        <v>46127.974039351851</v>
      </c>
    </row>
    <row r="53" spans="1:12" x14ac:dyDescent="0.35">
      <c r="A53" t="s">
        <v>576</v>
      </c>
      <c r="B53" t="s">
        <v>239</v>
      </c>
      <c r="C53" t="s">
        <v>577</v>
      </c>
      <c r="D53" s="6">
        <v>46074</v>
      </c>
      <c r="E53" t="s">
        <v>38</v>
      </c>
      <c r="F53" t="s">
        <v>440</v>
      </c>
      <c r="G53" s="12">
        <v>19764</v>
      </c>
      <c r="H53" s="12">
        <v>15698.385378599165</v>
      </c>
      <c r="I53" t="s">
        <v>435</v>
      </c>
      <c r="J53" t="s">
        <v>578</v>
      </c>
      <c r="K53" t="s">
        <v>456</v>
      </c>
      <c r="L53" s="14">
        <v>46127.974039351851</v>
      </c>
    </row>
    <row r="54" spans="1:12" x14ac:dyDescent="0.35">
      <c r="A54" t="s">
        <v>579</v>
      </c>
      <c r="B54" t="s">
        <v>315</v>
      </c>
      <c r="C54" t="s">
        <v>580</v>
      </c>
      <c r="D54" s="6">
        <v>45937</v>
      </c>
      <c r="E54" t="s">
        <v>34</v>
      </c>
      <c r="F54" t="s">
        <v>440</v>
      </c>
      <c r="G54" s="12">
        <v>32782</v>
      </c>
      <c r="H54" s="12">
        <v>23643.119968259332</v>
      </c>
      <c r="I54" t="s">
        <v>435</v>
      </c>
      <c r="J54" t="s">
        <v>581</v>
      </c>
      <c r="K54" t="s">
        <v>488</v>
      </c>
      <c r="L54" s="14">
        <v>46127.974039351851</v>
      </c>
    </row>
    <row r="55" spans="1:12" x14ac:dyDescent="0.35">
      <c r="A55" t="s">
        <v>582</v>
      </c>
      <c r="B55" t="s">
        <v>385</v>
      </c>
      <c r="C55" t="s">
        <v>583</v>
      </c>
      <c r="D55" s="6">
        <v>46073</v>
      </c>
      <c r="E55" t="s">
        <v>35</v>
      </c>
      <c r="F55" t="s">
        <v>450</v>
      </c>
      <c r="G55" s="12">
        <v>39809</v>
      </c>
      <c r="H55" s="12">
        <v>29677.130839538571</v>
      </c>
      <c r="I55" t="s">
        <v>435</v>
      </c>
      <c r="J55" t="s">
        <v>584</v>
      </c>
      <c r="K55" t="s">
        <v>456</v>
      </c>
      <c r="L55" s="14">
        <v>46127.974039351851</v>
      </c>
    </row>
    <row r="56" spans="1:12" x14ac:dyDescent="0.35">
      <c r="A56" t="s">
        <v>585</v>
      </c>
      <c r="B56" t="s">
        <v>408</v>
      </c>
      <c r="C56" t="s">
        <v>470</v>
      </c>
      <c r="D56" s="6">
        <v>46020</v>
      </c>
      <c r="E56" t="s">
        <v>36</v>
      </c>
      <c r="F56" t="s">
        <v>440</v>
      </c>
      <c r="G56" s="12">
        <v>47129</v>
      </c>
      <c r="H56" s="12">
        <v>37225.963850206135</v>
      </c>
      <c r="I56" t="s">
        <v>435</v>
      </c>
      <c r="J56" t="s">
        <v>586</v>
      </c>
      <c r="K56" t="s">
        <v>468</v>
      </c>
      <c r="L56" s="14">
        <v>46127.974039351851</v>
      </c>
    </row>
    <row r="57" spans="1:12" x14ac:dyDescent="0.35">
      <c r="A57" t="s">
        <v>587</v>
      </c>
      <c r="B57" t="s">
        <v>321</v>
      </c>
      <c r="C57" t="s">
        <v>588</v>
      </c>
      <c r="D57" s="6">
        <v>46018</v>
      </c>
      <c r="E57" t="s">
        <v>35</v>
      </c>
      <c r="F57" t="s">
        <v>440</v>
      </c>
      <c r="G57" s="12">
        <v>7165</v>
      </c>
      <c r="H57" s="12">
        <v>0</v>
      </c>
      <c r="I57" t="s">
        <v>446</v>
      </c>
      <c r="J57" t="s">
        <v>589</v>
      </c>
      <c r="K57" t="s">
        <v>488</v>
      </c>
      <c r="L57" s="14">
        <v>46127.974039351851</v>
      </c>
    </row>
    <row r="58" spans="1:12" x14ac:dyDescent="0.35">
      <c r="A58" t="s">
        <v>590</v>
      </c>
      <c r="B58" t="s">
        <v>290</v>
      </c>
      <c r="C58" t="s">
        <v>591</v>
      </c>
      <c r="D58" s="6">
        <v>46114</v>
      </c>
      <c r="E58" t="s">
        <v>39</v>
      </c>
      <c r="F58" t="s">
        <v>445</v>
      </c>
      <c r="G58" s="12">
        <v>39973</v>
      </c>
      <c r="H58" s="12">
        <v>39758.202154350278</v>
      </c>
      <c r="I58" t="s">
        <v>435</v>
      </c>
      <c r="J58" t="s">
        <v>592</v>
      </c>
      <c r="K58" t="s">
        <v>488</v>
      </c>
      <c r="L58" s="14">
        <v>46127.974039351851</v>
      </c>
    </row>
    <row r="59" spans="1:12" x14ac:dyDescent="0.35">
      <c r="A59" t="s">
        <v>593</v>
      </c>
      <c r="B59" t="s">
        <v>331</v>
      </c>
      <c r="C59" t="s">
        <v>594</v>
      </c>
      <c r="D59" s="6">
        <v>46124</v>
      </c>
      <c r="E59" t="s">
        <v>34</v>
      </c>
      <c r="F59" t="s">
        <v>445</v>
      </c>
      <c r="G59" s="12">
        <v>23540</v>
      </c>
      <c r="H59" s="12">
        <v>16883.045966982841</v>
      </c>
      <c r="I59" t="s">
        <v>435</v>
      </c>
      <c r="J59" t="s">
        <v>595</v>
      </c>
      <c r="K59" t="s">
        <v>456</v>
      </c>
      <c r="L59" s="14">
        <v>46127.974039351851</v>
      </c>
    </row>
    <row r="60" spans="1:12" x14ac:dyDescent="0.35">
      <c r="A60" t="s">
        <v>596</v>
      </c>
      <c r="B60" t="s">
        <v>294</v>
      </c>
      <c r="C60" t="s">
        <v>421</v>
      </c>
      <c r="D60" s="6">
        <v>46032</v>
      </c>
      <c r="E60" t="s">
        <v>37</v>
      </c>
      <c r="F60" t="s">
        <v>434</v>
      </c>
      <c r="G60" s="12">
        <v>17147</v>
      </c>
      <c r="H60" s="12">
        <v>0</v>
      </c>
      <c r="I60" t="s">
        <v>446</v>
      </c>
      <c r="J60" t="s">
        <v>597</v>
      </c>
      <c r="K60" t="s">
        <v>488</v>
      </c>
      <c r="L60" s="14">
        <v>46127.974039351851</v>
      </c>
    </row>
    <row r="61" spans="1:12" x14ac:dyDescent="0.35">
      <c r="A61" t="s">
        <v>598</v>
      </c>
      <c r="B61" t="s">
        <v>407</v>
      </c>
      <c r="C61" t="s">
        <v>599</v>
      </c>
      <c r="D61" s="6">
        <v>46007</v>
      </c>
      <c r="E61" t="s">
        <v>38</v>
      </c>
      <c r="F61" t="s">
        <v>445</v>
      </c>
      <c r="G61" s="12">
        <v>31508</v>
      </c>
      <c r="H61" s="12">
        <v>29230.754203796387</v>
      </c>
      <c r="I61" t="s">
        <v>435</v>
      </c>
      <c r="J61" t="s">
        <v>600</v>
      </c>
      <c r="K61" t="s">
        <v>442</v>
      </c>
      <c r="L61" s="14">
        <v>46127.974039351851</v>
      </c>
    </row>
    <row r="62" spans="1:12" x14ac:dyDescent="0.35">
      <c r="A62" t="s">
        <v>601</v>
      </c>
      <c r="B62" t="s">
        <v>294</v>
      </c>
      <c r="C62" t="s">
        <v>602</v>
      </c>
      <c r="D62" s="6">
        <v>46038</v>
      </c>
      <c r="E62" t="s">
        <v>36</v>
      </c>
      <c r="F62" t="s">
        <v>454</v>
      </c>
      <c r="G62" s="12">
        <v>31798</v>
      </c>
      <c r="H62" s="12">
        <v>22714.564030611513</v>
      </c>
      <c r="I62" t="s">
        <v>435</v>
      </c>
      <c r="J62" t="s">
        <v>603</v>
      </c>
      <c r="K62" t="s">
        <v>437</v>
      </c>
      <c r="L62" s="14">
        <v>46127.974039351851</v>
      </c>
    </row>
    <row r="63" spans="1:12" x14ac:dyDescent="0.35">
      <c r="A63" t="s">
        <v>604</v>
      </c>
      <c r="B63" t="s">
        <v>374</v>
      </c>
      <c r="C63" t="s">
        <v>605</v>
      </c>
      <c r="D63" s="6">
        <v>46005</v>
      </c>
      <c r="E63" t="s">
        <v>38</v>
      </c>
      <c r="F63" t="s">
        <v>440</v>
      </c>
      <c r="G63" s="12">
        <v>11369</v>
      </c>
      <c r="H63" s="12">
        <v>8990.9755921959877</v>
      </c>
      <c r="I63" t="s">
        <v>435</v>
      </c>
      <c r="J63" t="s">
        <v>606</v>
      </c>
      <c r="K63" t="s">
        <v>437</v>
      </c>
      <c r="L63" s="14">
        <v>46127.974039351851</v>
      </c>
    </row>
    <row r="64" spans="1:12" x14ac:dyDescent="0.35">
      <c r="A64" t="s">
        <v>607</v>
      </c>
      <c r="B64" t="s">
        <v>246</v>
      </c>
      <c r="C64" t="s">
        <v>608</v>
      </c>
      <c r="D64" s="6">
        <v>45928</v>
      </c>
      <c r="E64" t="s">
        <v>36</v>
      </c>
      <c r="F64" t="s">
        <v>445</v>
      </c>
      <c r="G64" s="12">
        <v>12317</v>
      </c>
      <c r="H64" s="12">
        <v>0</v>
      </c>
      <c r="I64" t="s">
        <v>446</v>
      </c>
      <c r="J64" t="s">
        <v>609</v>
      </c>
      <c r="K64" t="s">
        <v>456</v>
      </c>
      <c r="L64" s="14">
        <v>46127.974039351851</v>
      </c>
    </row>
    <row r="65" spans="1:12" x14ac:dyDescent="0.35">
      <c r="A65" t="s">
        <v>610</v>
      </c>
      <c r="B65" t="s">
        <v>217</v>
      </c>
      <c r="C65" t="s">
        <v>439</v>
      </c>
      <c r="D65" s="6">
        <v>46022</v>
      </c>
      <c r="E65" t="s">
        <v>37</v>
      </c>
      <c r="F65" t="s">
        <v>434</v>
      </c>
      <c r="G65" s="12">
        <v>42218</v>
      </c>
      <c r="H65" s="12">
        <v>41295.405016362667</v>
      </c>
      <c r="I65" t="s">
        <v>435</v>
      </c>
      <c r="J65" t="s">
        <v>611</v>
      </c>
      <c r="K65" t="s">
        <v>437</v>
      </c>
      <c r="L65" s="14">
        <v>46127.974039351851</v>
      </c>
    </row>
    <row r="66" spans="1:12" x14ac:dyDescent="0.35">
      <c r="A66" t="s">
        <v>612</v>
      </c>
      <c r="B66" t="s">
        <v>396</v>
      </c>
      <c r="C66" t="s">
        <v>613</v>
      </c>
      <c r="D66" s="6">
        <v>45787</v>
      </c>
      <c r="E66" t="s">
        <v>38</v>
      </c>
      <c r="F66" t="s">
        <v>440</v>
      </c>
      <c r="G66" s="12">
        <v>41395</v>
      </c>
      <c r="H66" s="12">
        <v>0</v>
      </c>
      <c r="I66" t="s">
        <v>446</v>
      </c>
      <c r="J66" t="s">
        <v>614</v>
      </c>
      <c r="K66" t="s">
        <v>488</v>
      </c>
      <c r="L66" s="14">
        <v>46127.974039351851</v>
      </c>
    </row>
    <row r="67" spans="1:12" x14ac:dyDescent="0.35">
      <c r="A67" t="s">
        <v>615</v>
      </c>
      <c r="B67" t="s">
        <v>405</v>
      </c>
      <c r="C67" t="s">
        <v>616</v>
      </c>
      <c r="D67" s="6">
        <v>45853</v>
      </c>
      <c r="E67" t="s">
        <v>36</v>
      </c>
      <c r="F67" t="s">
        <v>434</v>
      </c>
      <c r="G67" s="12">
        <v>44936</v>
      </c>
      <c r="H67" s="12">
        <v>0</v>
      </c>
      <c r="I67" t="s">
        <v>446</v>
      </c>
      <c r="J67" t="s">
        <v>617</v>
      </c>
      <c r="K67" t="s">
        <v>442</v>
      </c>
      <c r="L67" s="14">
        <v>46127.974039351851</v>
      </c>
    </row>
    <row r="68" spans="1:12" x14ac:dyDescent="0.35">
      <c r="A68" t="s">
        <v>618</v>
      </c>
      <c r="B68" t="s">
        <v>333</v>
      </c>
      <c r="C68" t="s">
        <v>391</v>
      </c>
      <c r="D68" s="6">
        <v>46125</v>
      </c>
      <c r="E68" t="s">
        <v>36</v>
      </c>
      <c r="F68" t="s">
        <v>454</v>
      </c>
      <c r="G68" s="12">
        <v>43923</v>
      </c>
      <c r="H68" s="12">
        <v>41591.669852364059</v>
      </c>
      <c r="I68" t="s">
        <v>435</v>
      </c>
      <c r="J68" t="s">
        <v>619</v>
      </c>
      <c r="K68" t="s">
        <v>456</v>
      </c>
      <c r="L68" s="14">
        <v>46127.974039351851</v>
      </c>
    </row>
    <row r="69" spans="1:12" x14ac:dyDescent="0.35">
      <c r="A69" t="s">
        <v>620</v>
      </c>
      <c r="B69" t="s">
        <v>261</v>
      </c>
      <c r="C69" t="s">
        <v>285</v>
      </c>
      <c r="D69" s="6">
        <v>45881</v>
      </c>
      <c r="E69" t="s">
        <v>36</v>
      </c>
      <c r="F69" t="s">
        <v>440</v>
      </c>
      <c r="G69" s="12">
        <v>48694</v>
      </c>
      <c r="H69" s="12">
        <v>0</v>
      </c>
      <c r="I69" t="s">
        <v>446</v>
      </c>
      <c r="J69" t="s">
        <v>621</v>
      </c>
      <c r="K69" t="s">
        <v>452</v>
      </c>
      <c r="L69" s="14">
        <v>46127.974039351851</v>
      </c>
    </row>
    <row r="70" spans="1:12" x14ac:dyDescent="0.35">
      <c r="A70" t="s">
        <v>622</v>
      </c>
      <c r="B70" t="s">
        <v>311</v>
      </c>
      <c r="C70" t="s">
        <v>623</v>
      </c>
      <c r="D70" s="6">
        <v>46069</v>
      </c>
      <c r="E70" t="s">
        <v>35</v>
      </c>
      <c r="F70" t="s">
        <v>445</v>
      </c>
      <c r="G70" s="12">
        <v>4063</v>
      </c>
      <c r="H70" s="12">
        <v>2909.8914909183977</v>
      </c>
      <c r="I70" t="s">
        <v>435</v>
      </c>
      <c r="J70" t="s">
        <v>624</v>
      </c>
      <c r="K70" t="s">
        <v>442</v>
      </c>
      <c r="L70" s="14">
        <v>46127.974039351851</v>
      </c>
    </row>
    <row r="71" spans="1:12" x14ac:dyDescent="0.35">
      <c r="A71" t="s">
        <v>625</v>
      </c>
      <c r="B71" t="s">
        <v>192</v>
      </c>
      <c r="C71" t="s">
        <v>626</v>
      </c>
      <c r="D71" s="6">
        <v>45895</v>
      </c>
      <c r="E71" t="s">
        <v>39</v>
      </c>
      <c r="F71" t="s">
        <v>434</v>
      </c>
      <c r="G71" s="12">
        <v>12219</v>
      </c>
      <c r="H71" s="12">
        <v>10197.044091045856</v>
      </c>
      <c r="I71" t="s">
        <v>435</v>
      </c>
      <c r="J71" t="s">
        <v>627</v>
      </c>
      <c r="K71" t="s">
        <v>442</v>
      </c>
      <c r="L71" s="14">
        <v>46127.974039351851</v>
      </c>
    </row>
    <row r="72" spans="1:12" x14ac:dyDescent="0.35">
      <c r="A72" t="s">
        <v>628</v>
      </c>
      <c r="B72" t="s">
        <v>414</v>
      </c>
      <c r="C72" t="s">
        <v>629</v>
      </c>
      <c r="D72" s="6">
        <v>45872</v>
      </c>
      <c r="E72" t="s">
        <v>35</v>
      </c>
      <c r="F72" t="s">
        <v>454</v>
      </c>
      <c r="G72" s="12">
        <v>14198</v>
      </c>
      <c r="H72" s="12">
        <v>0</v>
      </c>
      <c r="I72" t="s">
        <v>446</v>
      </c>
      <c r="J72" t="s">
        <v>630</v>
      </c>
      <c r="K72" t="s">
        <v>456</v>
      </c>
      <c r="L72" s="14">
        <v>46127.974039351851</v>
      </c>
    </row>
    <row r="73" spans="1:12" x14ac:dyDescent="0.35">
      <c r="A73" t="s">
        <v>631</v>
      </c>
      <c r="B73" t="s">
        <v>311</v>
      </c>
      <c r="C73" t="s">
        <v>328</v>
      </c>
      <c r="D73" s="6">
        <v>46111</v>
      </c>
      <c r="E73" t="s">
        <v>37</v>
      </c>
      <c r="F73" t="s">
        <v>450</v>
      </c>
      <c r="G73" s="12">
        <v>31055</v>
      </c>
      <c r="H73" s="12">
        <v>26200.145338326693</v>
      </c>
      <c r="I73" t="s">
        <v>435</v>
      </c>
      <c r="J73" t="s">
        <v>632</v>
      </c>
      <c r="K73" t="s">
        <v>437</v>
      </c>
      <c r="L73" s="14">
        <v>46127.974039351851</v>
      </c>
    </row>
    <row r="74" spans="1:12" x14ac:dyDescent="0.35">
      <c r="A74" t="s">
        <v>633</v>
      </c>
      <c r="B74" t="s">
        <v>339</v>
      </c>
      <c r="C74" t="s">
        <v>265</v>
      </c>
      <c r="D74" s="6">
        <v>46078</v>
      </c>
      <c r="E74" t="s">
        <v>34</v>
      </c>
      <c r="F74" t="s">
        <v>454</v>
      </c>
      <c r="G74" s="12">
        <v>46982</v>
      </c>
      <c r="H74" s="12">
        <v>40468.335503602022</v>
      </c>
      <c r="I74" t="s">
        <v>435</v>
      </c>
      <c r="J74" t="s">
        <v>634</v>
      </c>
      <c r="K74" t="s">
        <v>452</v>
      </c>
      <c r="L74" s="14">
        <v>46127.974039351851</v>
      </c>
    </row>
    <row r="75" spans="1:12" x14ac:dyDescent="0.35">
      <c r="A75" t="s">
        <v>635</v>
      </c>
      <c r="B75" t="s">
        <v>392</v>
      </c>
      <c r="C75" t="s">
        <v>324</v>
      </c>
      <c r="D75" s="6">
        <v>45923</v>
      </c>
      <c r="E75" t="s">
        <v>39</v>
      </c>
      <c r="F75" t="s">
        <v>445</v>
      </c>
      <c r="G75" s="12">
        <v>37038</v>
      </c>
      <c r="H75" s="12">
        <v>0</v>
      </c>
      <c r="I75" t="s">
        <v>446</v>
      </c>
      <c r="J75" t="s">
        <v>636</v>
      </c>
      <c r="K75" t="s">
        <v>452</v>
      </c>
      <c r="L75" s="14">
        <v>46127.974039351851</v>
      </c>
    </row>
    <row r="76" spans="1:12" x14ac:dyDescent="0.35">
      <c r="A76" t="s">
        <v>637</v>
      </c>
      <c r="B76" t="s">
        <v>284</v>
      </c>
      <c r="C76" t="s">
        <v>638</v>
      </c>
      <c r="D76" s="6">
        <v>45841</v>
      </c>
      <c r="E76" t="s">
        <v>38</v>
      </c>
      <c r="F76" t="s">
        <v>440</v>
      </c>
      <c r="G76" s="12">
        <v>41652</v>
      </c>
      <c r="H76" s="12">
        <v>0</v>
      </c>
      <c r="I76" t="s">
        <v>446</v>
      </c>
      <c r="J76" t="s">
        <v>639</v>
      </c>
      <c r="K76" t="s">
        <v>452</v>
      </c>
      <c r="L76" s="14">
        <v>46127.974039351851</v>
      </c>
    </row>
    <row r="77" spans="1:12" x14ac:dyDescent="0.35">
      <c r="A77" t="s">
        <v>640</v>
      </c>
      <c r="B77" t="s">
        <v>267</v>
      </c>
      <c r="C77" t="s">
        <v>641</v>
      </c>
      <c r="D77" s="6">
        <v>45978</v>
      </c>
      <c r="E77" t="s">
        <v>36</v>
      </c>
      <c r="F77" t="s">
        <v>440</v>
      </c>
      <c r="G77" s="12">
        <v>3426</v>
      </c>
      <c r="H77" s="12">
        <v>2619.2013551831242</v>
      </c>
      <c r="I77" t="s">
        <v>435</v>
      </c>
      <c r="J77" t="s">
        <v>642</v>
      </c>
      <c r="K77" t="s">
        <v>452</v>
      </c>
      <c r="L77" s="14">
        <v>46127.974039351851</v>
      </c>
    </row>
    <row r="78" spans="1:12" x14ac:dyDescent="0.35">
      <c r="A78" t="s">
        <v>643</v>
      </c>
      <c r="B78" t="s">
        <v>305</v>
      </c>
      <c r="C78" t="s">
        <v>644</v>
      </c>
      <c r="D78" s="6">
        <v>45816</v>
      </c>
      <c r="E78" t="s">
        <v>38</v>
      </c>
      <c r="F78" t="s">
        <v>450</v>
      </c>
      <c r="G78" s="12">
        <v>4824</v>
      </c>
      <c r="H78" s="12">
        <v>4817.622637367248</v>
      </c>
      <c r="I78" t="s">
        <v>435</v>
      </c>
      <c r="J78" t="s">
        <v>645</v>
      </c>
      <c r="K78" t="s">
        <v>452</v>
      </c>
      <c r="L78" s="14">
        <v>46127.974039351851</v>
      </c>
    </row>
    <row r="79" spans="1:12" x14ac:dyDescent="0.35">
      <c r="A79" t="s">
        <v>646</v>
      </c>
      <c r="B79" t="s">
        <v>264</v>
      </c>
      <c r="C79" t="s">
        <v>299</v>
      </c>
      <c r="D79" s="6">
        <v>46069</v>
      </c>
      <c r="E79" t="s">
        <v>35</v>
      </c>
      <c r="F79" t="s">
        <v>450</v>
      </c>
      <c r="G79" s="12">
        <v>31169</v>
      </c>
      <c r="H79" s="12">
        <v>23054.518856829403</v>
      </c>
      <c r="I79" t="s">
        <v>435</v>
      </c>
      <c r="J79" t="s">
        <v>647</v>
      </c>
      <c r="K79" t="s">
        <v>456</v>
      </c>
      <c r="L79" s="14">
        <v>46127.974039351851</v>
      </c>
    </row>
    <row r="80" spans="1:12" x14ac:dyDescent="0.35">
      <c r="A80" t="s">
        <v>648</v>
      </c>
      <c r="B80" t="s">
        <v>277</v>
      </c>
      <c r="C80" t="s">
        <v>649</v>
      </c>
      <c r="D80" s="6">
        <v>45997</v>
      </c>
      <c r="E80" t="s">
        <v>36</v>
      </c>
      <c r="F80" t="s">
        <v>454</v>
      </c>
      <c r="G80" s="12">
        <v>22161</v>
      </c>
      <c r="H80" s="12">
        <v>17069.019372403622</v>
      </c>
      <c r="I80" t="s">
        <v>435</v>
      </c>
      <c r="J80" t="s">
        <v>650</v>
      </c>
      <c r="K80" t="s">
        <v>488</v>
      </c>
      <c r="L80" s="14">
        <v>46127.974039351851</v>
      </c>
    </row>
    <row r="81" spans="1:12" x14ac:dyDescent="0.35">
      <c r="A81" t="s">
        <v>651</v>
      </c>
      <c r="B81" t="s">
        <v>404</v>
      </c>
      <c r="C81" t="s">
        <v>449</v>
      </c>
      <c r="D81" s="6">
        <v>45793</v>
      </c>
      <c r="E81" t="s">
        <v>39</v>
      </c>
      <c r="F81" t="s">
        <v>440</v>
      </c>
      <c r="G81" s="12">
        <v>35979</v>
      </c>
      <c r="H81" s="12">
        <v>26131.293187183139</v>
      </c>
      <c r="I81" t="s">
        <v>435</v>
      </c>
      <c r="J81" t="s">
        <v>652</v>
      </c>
      <c r="K81" t="s">
        <v>452</v>
      </c>
      <c r="L81" s="14">
        <v>46127.974039351851</v>
      </c>
    </row>
    <row r="82" spans="1:12" x14ac:dyDescent="0.35">
      <c r="A82" t="s">
        <v>653</v>
      </c>
      <c r="B82" t="s">
        <v>309</v>
      </c>
      <c r="C82" t="s">
        <v>577</v>
      </c>
      <c r="D82" s="6">
        <v>45826</v>
      </c>
      <c r="E82" t="s">
        <v>37</v>
      </c>
      <c r="F82" t="s">
        <v>454</v>
      </c>
      <c r="G82" s="12">
        <v>11849</v>
      </c>
      <c r="H82" s="12">
        <v>9453.0448186874382</v>
      </c>
      <c r="I82" t="s">
        <v>435</v>
      </c>
      <c r="J82" t="s">
        <v>654</v>
      </c>
      <c r="K82" t="s">
        <v>442</v>
      </c>
      <c r="L82" s="14">
        <v>46127.974039351851</v>
      </c>
    </row>
    <row r="83" spans="1:12" x14ac:dyDescent="0.35">
      <c r="A83" t="s">
        <v>655</v>
      </c>
      <c r="B83" t="s">
        <v>392</v>
      </c>
      <c r="C83" t="s">
        <v>656</v>
      </c>
      <c r="D83" s="6">
        <v>46065</v>
      </c>
      <c r="E83" t="s">
        <v>36</v>
      </c>
      <c r="F83" t="s">
        <v>434</v>
      </c>
      <c r="G83" s="12">
        <v>37606</v>
      </c>
      <c r="H83" s="12">
        <v>33325.034655249117</v>
      </c>
      <c r="I83" t="s">
        <v>435</v>
      </c>
      <c r="J83" t="s">
        <v>657</v>
      </c>
      <c r="K83" t="s">
        <v>437</v>
      </c>
      <c r="L83" s="14">
        <v>46127.974039351851</v>
      </c>
    </row>
    <row r="84" spans="1:12" x14ac:dyDescent="0.35">
      <c r="A84" t="s">
        <v>658</v>
      </c>
      <c r="B84" t="s">
        <v>410</v>
      </c>
      <c r="C84" t="s">
        <v>659</v>
      </c>
      <c r="D84" s="6">
        <v>46066</v>
      </c>
      <c r="E84" t="s">
        <v>38</v>
      </c>
      <c r="F84" t="s">
        <v>445</v>
      </c>
      <c r="G84" s="12">
        <v>10916</v>
      </c>
      <c r="H84" s="12">
        <v>0</v>
      </c>
      <c r="I84" t="s">
        <v>446</v>
      </c>
      <c r="J84" t="s">
        <v>660</v>
      </c>
      <c r="K84" t="s">
        <v>437</v>
      </c>
      <c r="L84" s="14">
        <v>46127.974039351851</v>
      </c>
    </row>
    <row r="85" spans="1:12" x14ac:dyDescent="0.35">
      <c r="A85" t="s">
        <v>661</v>
      </c>
      <c r="B85" t="s">
        <v>344</v>
      </c>
      <c r="C85" t="s">
        <v>662</v>
      </c>
      <c r="D85" s="6">
        <v>45770</v>
      </c>
      <c r="E85" t="s">
        <v>38</v>
      </c>
      <c r="F85" t="s">
        <v>445</v>
      </c>
      <c r="G85" s="12">
        <v>40591</v>
      </c>
      <c r="H85" s="12">
        <v>0</v>
      </c>
      <c r="I85" t="s">
        <v>446</v>
      </c>
      <c r="J85" t="s">
        <v>663</v>
      </c>
      <c r="K85" t="s">
        <v>442</v>
      </c>
      <c r="L85" s="14">
        <v>46127.974039351851</v>
      </c>
    </row>
    <row r="86" spans="1:12" x14ac:dyDescent="0.35">
      <c r="A86" t="s">
        <v>664</v>
      </c>
      <c r="B86" t="s">
        <v>192</v>
      </c>
      <c r="C86" t="s">
        <v>227</v>
      </c>
      <c r="D86" s="6">
        <v>45790</v>
      </c>
      <c r="E86" t="s">
        <v>38</v>
      </c>
      <c r="F86" t="s">
        <v>450</v>
      </c>
      <c r="G86" s="12">
        <v>31959</v>
      </c>
      <c r="H86" s="12">
        <v>23922.302096235751</v>
      </c>
      <c r="I86" t="s">
        <v>435</v>
      </c>
      <c r="J86" t="s">
        <v>665</v>
      </c>
      <c r="K86" t="s">
        <v>442</v>
      </c>
      <c r="L86" s="14">
        <v>46127.974039351851</v>
      </c>
    </row>
    <row r="87" spans="1:12" x14ac:dyDescent="0.35">
      <c r="A87" t="s">
        <v>666</v>
      </c>
      <c r="B87" t="s">
        <v>360</v>
      </c>
      <c r="C87" t="s">
        <v>667</v>
      </c>
      <c r="D87" s="6">
        <v>45763</v>
      </c>
      <c r="E87" t="s">
        <v>38</v>
      </c>
      <c r="F87" t="s">
        <v>434</v>
      </c>
      <c r="G87" s="12">
        <v>8015</v>
      </c>
      <c r="H87" s="12">
        <v>7713.1543616950512</v>
      </c>
      <c r="I87" t="s">
        <v>435</v>
      </c>
      <c r="J87" t="s">
        <v>668</v>
      </c>
      <c r="K87" t="s">
        <v>437</v>
      </c>
      <c r="L87" s="14">
        <v>46127.974039351851</v>
      </c>
    </row>
    <row r="88" spans="1:12" x14ac:dyDescent="0.35">
      <c r="A88" t="s">
        <v>669</v>
      </c>
      <c r="B88" t="s">
        <v>317</v>
      </c>
      <c r="C88" t="s">
        <v>670</v>
      </c>
      <c r="D88" s="6">
        <v>45966</v>
      </c>
      <c r="E88" t="s">
        <v>35</v>
      </c>
      <c r="F88" t="s">
        <v>445</v>
      </c>
      <c r="G88" s="12">
        <v>37264</v>
      </c>
      <c r="H88" s="12">
        <v>26110.280545043945</v>
      </c>
      <c r="I88" t="s">
        <v>435</v>
      </c>
      <c r="J88" t="s">
        <v>671</v>
      </c>
      <c r="K88" t="s">
        <v>442</v>
      </c>
      <c r="L88" s="14">
        <v>46127.974039351851</v>
      </c>
    </row>
    <row r="89" spans="1:12" x14ac:dyDescent="0.35">
      <c r="A89" t="s">
        <v>672</v>
      </c>
      <c r="B89" t="s">
        <v>416</v>
      </c>
      <c r="C89" t="s">
        <v>301</v>
      </c>
      <c r="D89" s="6">
        <v>46013</v>
      </c>
      <c r="E89" t="s">
        <v>36</v>
      </c>
      <c r="F89" t="s">
        <v>454</v>
      </c>
      <c r="G89" s="12">
        <v>40854</v>
      </c>
      <c r="H89" s="12">
        <v>0</v>
      </c>
      <c r="I89" t="s">
        <v>446</v>
      </c>
      <c r="J89" t="s">
        <v>673</v>
      </c>
      <c r="K89" t="s">
        <v>488</v>
      </c>
      <c r="L89" s="14">
        <v>46127.974039351851</v>
      </c>
    </row>
    <row r="90" spans="1:12" x14ac:dyDescent="0.35">
      <c r="A90" t="s">
        <v>674</v>
      </c>
      <c r="B90" t="s">
        <v>261</v>
      </c>
      <c r="C90" t="s">
        <v>675</v>
      </c>
      <c r="D90" s="6">
        <v>46122</v>
      </c>
      <c r="E90" t="s">
        <v>34</v>
      </c>
      <c r="F90" t="s">
        <v>454</v>
      </c>
      <c r="G90" s="12">
        <v>9725</v>
      </c>
      <c r="H90" s="12">
        <v>0</v>
      </c>
      <c r="I90" t="s">
        <v>446</v>
      </c>
      <c r="J90" t="s">
        <v>676</v>
      </c>
      <c r="K90" t="s">
        <v>437</v>
      </c>
      <c r="L90" s="14">
        <v>46127.974039351851</v>
      </c>
    </row>
    <row r="91" spans="1:12" x14ac:dyDescent="0.35">
      <c r="A91" t="s">
        <v>677</v>
      </c>
      <c r="B91" t="s">
        <v>323</v>
      </c>
      <c r="C91" t="s">
        <v>206</v>
      </c>
      <c r="D91" s="6">
        <v>45891</v>
      </c>
      <c r="E91" t="s">
        <v>39</v>
      </c>
      <c r="F91" t="s">
        <v>440</v>
      </c>
      <c r="G91" s="12">
        <v>34668</v>
      </c>
      <c r="H91" s="12">
        <v>0</v>
      </c>
      <c r="I91" t="s">
        <v>446</v>
      </c>
      <c r="J91" t="s">
        <v>678</v>
      </c>
      <c r="K91" t="s">
        <v>452</v>
      </c>
      <c r="L91" s="14">
        <v>46127.974039351851</v>
      </c>
    </row>
    <row r="92" spans="1:12" x14ac:dyDescent="0.35">
      <c r="A92" t="s">
        <v>679</v>
      </c>
      <c r="B92" t="s">
        <v>418</v>
      </c>
      <c r="C92" t="s">
        <v>680</v>
      </c>
      <c r="D92" s="6">
        <v>46028</v>
      </c>
      <c r="E92" t="s">
        <v>34</v>
      </c>
      <c r="F92" t="s">
        <v>434</v>
      </c>
      <c r="G92" s="12">
        <v>8134</v>
      </c>
      <c r="H92" s="12">
        <v>7342.503241384029</v>
      </c>
      <c r="I92" t="s">
        <v>435</v>
      </c>
      <c r="J92" t="s">
        <v>681</v>
      </c>
      <c r="K92" t="s">
        <v>442</v>
      </c>
      <c r="L92" s="14">
        <v>46127.974039351851</v>
      </c>
    </row>
    <row r="93" spans="1:12" x14ac:dyDescent="0.35">
      <c r="A93" t="s">
        <v>682</v>
      </c>
      <c r="B93" t="s">
        <v>239</v>
      </c>
      <c r="C93" t="s">
        <v>683</v>
      </c>
      <c r="D93" s="6">
        <v>45802</v>
      </c>
      <c r="E93" t="s">
        <v>34</v>
      </c>
      <c r="F93" t="s">
        <v>450</v>
      </c>
      <c r="G93" s="12">
        <v>13323</v>
      </c>
      <c r="H93" s="12">
        <v>0</v>
      </c>
      <c r="I93" t="s">
        <v>446</v>
      </c>
      <c r="J93" t="s">
        <v>684</v>
      </c>
      <c r="K93" t="s">
        <v>442</v>
      </c>
      <c r="L93" s="14">
        <v>46127.974039351851</v>
      </c>
    </row>
    <row r="94" spans="1:12" x14ac:dyDescent="0.35">
      <c r="A94" t="s">
        <v>685</v>
      </c>
      <c r="B94" t="s">
        <v>302</v>
      </c>
      <c r="C94" t="s">
        <v>686</v>
      </c>
      <c r="D94" s="6">
        <v>45794</v>
      </c>
      <c r="E94" t="s">
        <v>39</v>
      </c>
      <c r="F94" t="s">
        <v>454</v>
      </c>
      <c r="G94" s="12">
        <v>13242</v>
      </c>
      <c r="H94" s="12">
        <v>12420.363618779182</v>
      </c>
      <c r="I94" t="s">
        <v>435</v>
      </c>
      <c r="J94" t="s">
        <v>687</v>
      </c>
      <c r="K94" t="s">
        <v>468</v>
      </c>
      <c r="L94" s="14">
        <v>46127.974039351851</v>
      </c>
    </row>
    <row r="95" spans="1:12" x14ac:dyDescent="0.35">
      <c r="A95" t="s">
        <v>688</v>
      </c>
      <c r="B95" t="s">
        <v>317</v>
      </c>
      <c r="C95" t="s">
        <v>222</v>
      </c>
      <c r="D95" s="6">
        <v>45996</v>
      </c>
      <c r="E95" t="s">
        <v>34</v>
      </c>
      <c r="F95" t="s">
        <v>450</v>
      </c>
      <c r="G95" s="12">
        <v>17921</v>
      </c>
      <c r="H95" s="12">
        <v>16092.547980695961</v>
      </c>
      <c r="I95" t="s">
        <v>435</v>
      </c>
      <c r="J95" t="s">
        <v>689</v>
      </c>
      <c r="K95" t="s">
        <v>437</v>
      </c>
      <c r="L95" s="14">
        <v>46127.974039351851</v>
      </c>
    </row>
    <row r="96" spans="1:12" x14ac:dyDescent="0.35">
      <c r="A96" t="s">
        <v>690</v>
      </c>
      <c r="B96" t="s">
        <v>213</v>
      </c>
      <c r="C96" t="s">
        <v>613</v>
      </c>
      <c r="D96" s="6">
        <v>45993</v>
      </c>
      <c r="E96" t="s">
        <v>37</v>
      </c>
      <c r="F96" t="s">
        <v>454</v>
      </c>
      <c r="G96" s="12">
        <v>4248</v>
      </c>
      <c r="H96" s="12">
        <v>0</v>
      </c>
      <c r="I96" t="s">
        <v>446</v>
      </c>
      <c r="J96" t="s">
        <v>691</v>
      </c>
      <c r="K96" t="s">
        <v>452</v>
      </c>
      <c r="L96" s="14">
        <v>46127.974039351851</v>
      </c>
    </row>
    <row r="97" spans="1:12" x14ac:dyDescent="0.35">
      <c r="A97" t="s">
        <v>692</v>
      </c>
      <c r="B97" t="s">
        <v>379</v>
      </c>
      <c r="C97" t="s">
        <v>493</v>
      </c>
      <c r="D97" s="6">
        <v>45953</v>
      </c>
      <c r="E97" t="s">
        <v>37</v>
      </c>
      <c r="F97" t="s">
        <v>434</v>
      </c>
      <c r="G97" s="12">
        <v>44088</v>
      </c>
      <c r="H97" s="12">
        <v>0</v>
      </c>
      <c r="I97" t="s">
        <v>446</v>
      </c>
      <c r="J97" t="s">
        <v>693</v>
      </c>
      <c r="K97" t="s">
        <v>468</v>
      </c>
      <c r="L97" s="14">
        <v>46127.974039351851</v>
      </c>
    </row>
    <row r="98" spans="1:12" x14ac:dyDescent="0.35">
      <c r="A98" t="s">
        <v>694</v>
      </c>
      <c r="B98" t="s">
        <v>261</v>
      </c>
      <c r="C98" t="s">
        <v>212</v>
      </c>
      <c r="D98" s="6">
        <v>45955</v>
      </c>
      <c r="E98" t="s">
        <v>36</v>
      </c>
      <c r="F98" t="s">
        <v>440</v>
      </c>
      <c r="G98" s="12">
        <v>13127</v>
      </c>
      <c r="H98" s="12">
        <v>0</v>
      </c>
      <c r="I98" t="s">
        <v>446</v>
      </c>
      <c r="J98" t="s">
        <v>695</v>
      </c>
      <c r="K98" t="s">
        <v>442</v>
      </c>
      <c r="L98" s="14">
        <v>46127.974039351851</v>
      </c>
    </row>
    <row r="99" spans="1:12" x14ac:dyDescent="0.35">
      <c r="A99" t="s">
        <v>696</v>
      </c>
      <c r="B99" t="s">
        <v>360</v>
      </c>
      <c r="C99" t="s">
        <v>265</v>
      </c>
      <c r="D99" s="6">
        <v>45914</v>
      </c>
      <c r="E99" t="s">
        <v>39</v>
      </c>
      <c r="F99" t="s">
        <v>445</v>
      </c>
      <c r="G99" s="12">
        <v>17469</v>
      </c>
      <c r="H99" s="12">
        <v>13108.277076566219</v>
      </c>
      <c r="I99" t="s">
        <v>435</v>
      </c>
      <c r="J99" t="s">
        <v>697</v>
      </c>
      <c r="K99" t="s">
        <v>456</v>
      </c>
      <c r="L99" s="14">
        <v>46127.974039351851</v>
      </c>
    </row>
    <row r="100" spans="1:12" x14ac:dyDescent="0.35">
      <c r="A100" t="s">
        <v>698</v>
      </c>
      <c r="B100" t="s">
        <v>406</v>
      </c>
      <c r="C100" t="s">
        <v>247</v>
      </c>
      <c r="D100" s="6">
        <v>45814</v>
      </c>
      <c r="E100" t="s">
        <v>38</v>
      </c>
      <c r="F100" t="s">
        <v>434</v>
      </c>
      <c r="G100" s="12">
        <v>27511</v>
      </c>
      <c r="H100" s="12">
        <v>23012.800830143689</v>
      </c>
      <c r="I100" t="s">
        <v>435</v>
      </c>
      <c r="J100" t="s">
        <v>699</v>
      </c>
      <c r="K100" t="s">
        <v>468</v>
      </c>
      <c r="L100" s="14">
        <v>46127.974039351851</v>
      </c>
    </row>
    <row r="101" spans="1:12" x14ac:dyDescent="0.35">
      <c r="A101" t="s">
        <v>700</v>
      </c>
      <c r="B101" t="s">
        <v>360</v>
      </c>
      <c r="C101" t="s">
        <v>342</v>
      </c>
      <c r="D101" s="6">
        <v>45927</v>
      </c>
      <c r="E101" t="s">
        <v>38</v>
      </c>
      <c r="F101" t="s">
        <v>440</v>
      </c>
      <c r="G101" s="12">
        <v>44460</v>
      </c>
      <c r="H101" s="12">
        <v>39843.446671485901</v>
      </c>
      <c r="I101" t="s">
        <v>435</v>
      </c>
      <c r="J101" t="s">
        <v>701</v>
      </c>
      <c r="K101" t="s">
        <v>442</v>
      </c>
      <c r="L101" s="14">
        <v>46127.974039351851</v>
      </c>
    </row>
    <row r="102" spans="1:12" x14ac:dyDescent="0.35">
      <c r="A102" t="s">
        <v>702</v>
      </c>
      <c r="B102" t="s">
        <v>354</v>
      </c>
      <c r="C102" t="s">
        <v>703</v>
      </c>
      <c r="D102" s="6">
        <v>45808</v>
      </c>
      <c r="E102" t="s">
        <v>37</v>
      </c>
      <c r="F102" t="s">
        <v>450</v>
      </c>
      <c r="G102" s="12">
        <v>25415</v>
      </c>
      <c r="H102" s="12">
        <v>23250.542887359858</v>
      </c>
      <c r="I102" t="s">
        <v>435</v>
      </c>
      <c r="J102" t="s">
        <v>704</v>
      </c>
      <c r="K102" t="s">
        <v>452</v>
      </c>
      <c r="L102" s="14">
        <v>46127.974039351851</v>
      </c>
    </row>
    <row r="103" spans="1:12" x14ac:dyDescent="0.35">
      <c r="A103" t="s">
        <v>705</v>
      </c>
      <c r="B103" t="s">
        <v>397</v>
      </c>
      <c r="C103" t="s">
        <v>706</v>
      </c>
      <c r="D103" s="6">
        <v>46070</v>
      </c>
      <c r="E103" t="s">
        <v>38</v>
      </c>
      <c r="F103" t="s">
        <v>434</v>
      </c>
      <c r="G103" s="12">
        <v>23738</v>
      </c>
      <c r="H103" s="12">
        <v>21003.780103230474</v>
      </c>
      <c r="I103" t="s">
        <v>435</v>
      </c>
      <c r="J103" t="s">
        <v>707</v>
      </c>
      <c r="K103" t="s">
        <v>456</v>
      </c>
      <c r="L103" s="14">
        <v>46127.974039351851</v>
      </c>
    </row>
    <row r="104" spans="1:12" x14ac:dyDescent="0.35">
      <c r="A104" t="s">
        <v>708</v>
      </c>
      <c r="B104" t="s">
        <v>311</v>
      </c>
      <c r="C104" t="s">
        <v>709</v>
      </c>
      <c r="D104" s="6">
        <v>46124</v>
      </c>
      <c r="E104" t="s">
        <v>35</v>
      </c>
      <c r="F104" t="s">
        <v>454</v>
      </c>
      <c r="G104" s="12">
        <v>45596</v>
      </c>
      <c r="H104" s="12">
        <v>36150.376576399802</v>
      </c>
      <c r="I104" t="s">
        <v>435</v>
      </c>
      <c r="J104" t="s">
        <v>710</v>
      </c>
      <c r="K104" t="s">
        <v>437</v>
      </c>
      <c r="L104" s="14">
        <v>46127.974039351851</v>
      </c>
    </row>
    <row r="105" spans="1:12" x14ac:dyDescent="0.35">
      <c r="A105" t="s">
        <v>711</v>
      </c>
      <c r="B105" t="s">
        <v>313</v>
      </c>
      <c r="C105" t="s">
        <v>712</v>
      </c>
      <c r="D105" s="6">
        <v>45855</v>
      </c>
      <c r="E105" t="s">
        <v>34</v>
      </c>
      <c r="F105" t="s">
        <v>454</v>
      </c>
      <c r="G105" s="12">
        <v>18602</v>
      </c>
      <c r="H105" s="12">
        <v>18575.034377050401</v>
      </c>
      <c r="I105" t="s">
        <v>435</v>
      </c>
      <c r="J105" t="s">
        <v>713</v>
      </c>
      <c r="K105" t="s">
        <v>442</v>
      </c>
      <c r="L105" s="14">
        <v>46127.974039351851</v>
      </c>
    </row>
    <row r="106" spans="1:12" x14ac:dyDescent="0.35">
      <c r="A106" t="s">
        <v>714</v>
      </c>
      <c r="B106" t="s">
        <v>259</v>
      </c>
      <c r="C106" t="s">
        <v>218</v>
      </c>
      <c r="D106" s="6">
        <v>46104</v>
      </c>
      <c r="E106" t="s">
        <v>37</v>
      </c>
      <c r="F106" t="s">
        <v>445</v>
      </c>
      <c r="G106" s="12">
        <v>14707</v>
      </c>
      <c r="H106" s="12">
        <v>13678.089804416893</v>
      </c>
      <c r="I106" t="s">
        <v>435</v>
      </c>
      <c r="J106" t="s">
        <v>715</v>
      </c>
      <c r="K106" t="s">
        <v>456</v>
      </c>
      <c r="L106" s="14">
        <v>46127.974039351851</v>
      </c>
    </row>
    <row r="107" spans="1:12" x14ac:dyDescent="0.35">
      <c r="A107" t="s">
        <v>716</v>
      </c>
      <c r="B107" t="s">
        <v>183</v>
      </c>
      <c r="C107" t="s">
        <v>717</v>
      </c>
      <c r="D107" s="6">
        <v>46109</v>
      </c>
      <c r="E107" t="s">
        <v>38</v>
      </c>
      <c r="F107" t="s">
        <v>434</v>
      </c>
      <c r="G107" s="12">
        <v>13096</v>
      </c>
      <c r="H107" s="12">
        <v>11487.733395290374</v>
      </c>
      <c r="I107" t="s">
        <v>435</v>
      </c>
      <c r="J107" t="s">
        <v>718</v>
      </c>
      <c r="K107" t="s">
        <v>488</v>
      </c>
      <c r="L107" s="14">
        <v>46127.974039351851</v>
      </c>
    </row>
    <row r="108" spans="1:12" x14ac:dyDescent="0.35">
      <c r="A108" t="s">
        <v>719</v>
      </c>
      <c r="B108" t="s">
        <v>254</v>
      </c>
      <c r="C108" t="s">
        <v>720</v>
      </c>
      <c r="D108" s="6">
        <v>46049</v>
      </c>
      <c r="E108" t="s">
        <v>36</v>
      </c>
      <c r="F108" t="s">
        <v>454</v>
      </c>
      <c r="G108" s="12">
        <v>6864</v>
      </c>
      <c r="H108" s="12">
        <v>6428.2362015724175</v>
      </c>
      <c r="I108" t="s">
        <v>435</v>
      </c>
      <c r="J108" t="s">
        <v>721</v>
      </c>
      <c r="K108" t="s">
        <v>488</v>
      </c>
      <c r="L108" s="14">
        <v>46127.974039351851</v>
      </c>
    </row>
    <row r="109" spans="1:12" x14ac:dyDescent="0.35">
      <c r="A109" t="s">
        <v>722</v>
      </c>
      <c r="B109" t="s">
        <v>300</v>
      </c>
      <c r="C109" t="s">
        <v>723</v>
      </c>
      <c r="D109" s="6">
        <v>45938</v>
      </c>
      <c r="E109" t="s">
        <v>34</v>
      </c>
      <c r="F109" t="s">
        <v>450</v>
      </c>
      <c r="G109" s="12">
        <v>47330</v>
      </c>
      <c r="H109" s="12">
        <v>0</v>
      </c>
      <c r="I109" t="s">
        <v>446</v>
      </c>
      <c r="J109" t="s">
        <v>724</v>
      </c>
      <c r="K109" t="s">
        <v>456</v>
      </c>
      <c r="L109" s="14">
        <v>46127.974039351851</v>
      </c>
    </row>
    <row r="110" spans="1:12" x14ac:dyDescent="0.35">
      <c r="A110" t="s">
        <v>725</v>
      </c>
      <c r="B110" t="s">
        <v>256</v>
      </c>
      <c r="C110" t="s">
        <v>281</v>
      </c>
      <c r="D110" s="6">
        <v>45892</v>
      </c>
      <c r="E110" t="s">
        <v>37</v>
      </c>
      <c r="F110" t="s">
        <v>450</v>
      </c>
      <c r="G110" s="12">
        <v>17342</v>
      </c>
      <c r="H110" s="12">
        <v>13111.931014943122</v>
      </c>
      <c r="I110" t="s">
        <v>435</v>
      </c>
      <c r="J110" t="s">
        <v>726</v>
      </c>
      <c r="K110" t="s">
        <v>442</v>
      </c>
      <c r="L110" s="14">
        <v>46127.974039351851</v>
      </c>
    </row>
    <row r="111" spans="1:12" x14ac:dyDescent="0.35">
      <c r="A111" t="s">
        <v>727</v>
      </c>
      <c r="B111" t="s">
        <v>302</v>
      </c>
      <c r="C111" t="s">
        <v>728</v>
      </c>
      <c r="D111" s="6">
        <v>45923</v>
      </c>
      <c r="E111" t="s">
        <v>36</v>
      </c>
      <c r="F111" t="s">
        <v>440</v>
      </c>
      <c r="G111" s="12">
        <v>27117</v>
      </c>
      <c r="H111" s="12">
        <v>23814.353391176461</v>
      </c>
      <c r="I111" t="s">
        <v>435</v>
      </c>
      <c r="J111" t="s">
        <v>729</v>
      </c>
      <c r="K111" t="s">
        <v>437</v>
      </c>
      <c r="L111" s="14">
        <v>46127.974039351851</v>
      </c>
    </row>
    <row r="112" spans="1:12" x14ac:dyDescent="0.35">
      <c r="A112" t="s">
        <v>730</v>
      </c>
      <c r="B112" t="s">
        <v>242</v>
      </c>
      <c r="C112" t="s">
        <v>731</v>
      </c>
      <c r="D112" s="6">
        <v>46093</v>
      </c>
      <c r="E112" t="s">
        <v>35</v>
      </c>
      <c r="F112" t="s">
        <v>450</v>
      </c>
      <c r="G112" s="12">
        <v>43711</v>
      </c>
      <c r="H112" s="12">
        <v>38056.844819450373</v>
      </c>
      <c r="I112" t="s">
        <v>435</v>
      </c>
      <c r="J112" t="s">
        <v>732</v>
      </c>
      <c r="K112" t="s">
        <v>468</v>
      </c>
      <c r="L112" s="14">
        <v>46127.974039351851</v>
      </c>
    </row>
    <row r="113" spans="1:12" x14ac:dyDescent="0.35">
      <c r="A113" t="s">
        <v>733</v>
      </c>
      <c r="B113" t="s">
        <v>246</v>
      </c>
      <c r="C113" t="s">
        <v>656</v>
      </c>
      <c r="D113" s="6">
        <v>45838</v>
      </c>
      <c r="E113" t="s">
        <v>38</v>
      </c>
      <c r="F113" t="s">
        <v>450</v>
      </c>
      <c r="G113" s="12">
        <v>27772</v>
      </c>
      <c r="H113" s="12">
        <v>22685.283761811253</v>
      </c>
      <c r="I113" t="s">
        <v>435</v>
      </c>
      <c r="J113" t="s">
        <v>734</v>
      </c>
      <c r="K113" t="s">
        <v>456</v>
      </c>
      <c r="L113" s="14">
        <v>46127.974039351851</v>
      </c>
    </row>
    <row r="114" spans="1:12" x14ac:dyDescent="0.35">
      <c r="A114" t="s">
        <v>735</v>
      </c>
      <c r="B114" t="s">
        <v>394</v>
      </c>
      <c r="C114" t="s">
        <v>736</v>
      </c>
      <c r="D114" s="6">
        <v>45893</v>
      </c>
      <c r="E114" t="s">
        <v>35</v>
      </c>
      <c r="F114" t="s">
        <v>450</v>
      </c>
      <c r="G114" s="12">
        <v>16042</v>
      </c>
      <c r="H114" s="12">
        <v>0</v>
      </c>
      <c r="I114" t="s">
        <v>446</v>
      </c>
      <c r="J114" t="s">
        <v>737</v>
      </c>
      <c r="K114" t="s">
        <v>456</v>
      </c>
      <c r="L114" s="14">
        <v>46127.974039351851</v>
      </c>
    </row>
    <row r="115" spans="1:12" x14ac:dyDescent="0.35">
      <c r="A115" t="s">
        <v>738</v>
      </c>
      <c r="B115" t="s">
        <v>306</v>
      </c>
      <c r="C115" t="s">
        <v>739</v>
      </c>
      <c r="D115" s="6">
        <v>45803</v>
      </c>
      <c r="E115" t="s">
        <v>39</v>
      </c>
      <c r="F115" t="s">
        <v>440</v>
      </c>
      <c r="G115" s="12">
        <v>34586</v>
      </c>
      <c r="H115" s="12">
        <v>0</v>
      </c>
      <c r="I115" t="s">
        <v>446</v>
      </c>
      <c r="J115" t="s">
        <v>740</v>
      </c>
      <c r="K115" t="s">
        <v>442</v>
      </c>
      <c r="L115" s="14">
        <v>46127.974039351851</v>
      </c>
    </row>
    <row r="116" spans="1:12" x14ac:dyDescent="0.35">
      <c r="A116" t="s">
        <v>741</v>
      </c>
      <c r="B116" t="s">
        <v>300</v>
      </c>
      <c r="C116" t="s">
        <v>577</v>
      </c>
      <c r="D116" s="6">
        <v>45877</v>
      </c>
      <c r="E116" t="s">
        <v>37</v>
      </c>
      <c r="F116" t="s">
        <v>440</v>
      </c>
      <c r="G116" s="12">
        <v>37735</v>
      </c>
      <c r="H116" s="12">
        <v>26661.688170492649</v>
      </c>
      <c r="I116" t="s">
        <v>435</v>
      </c>
      <c r="J116" t="s">
        <v>742</v>
      </c>
      <c r="K116" t="s">
        <v>442</v>
      </c>
      <c r="L116" s="14">
        <v>46127.974039351851</v>
      </c>
    </row>
    <row r="117" spans="1:12" x14ac:dyDescent="0.35">
      <c r="A117" t="s">
        <v>743</v>
      </c>
      <c r="B117" t="s">
        <v>374</v>
      </c>
      <c r="C117" t="s">
        <v>744</v>
      </c>
      <c r="D117" s="6">
        <v>46124</v>
      </c>
      <c r="E117" t="s">
        <v>35</v>
      </c>
      <c r="F117" t="s">
        <v>445</v>
      </c>
      <c r="G117" s="12">
        <v>2131</v>
      </c>
      <c r="H117" s="12">
        <v>2077.9260559976101</v>
      </c>
      <c r="I117" t="s">
        <v>435</v>
      </c>
      <c r="J117" t="s">
        <v>745</v>
      </c>
      <c r="K117" t="s">
        <v>488</v>
      </c>
      <c r="L117" s="14">
        <v>46127.974039351851</v>
      </c>
    </row>
    <row r="118" spans="1:12" x14ac:dyDescent="0.35">
      <c r="A118" t="s">
        <v>746</v>
      </c>
      <c r="B118" t="s">
        <v>372</v>
      </c>
      <c r="C118" t="s">
        <v>747</v>
      </c>
      <c r="D118" s="6">
        <v>45925</v>
      </c>
      <c r="E118" t="s">
        <v>35</v>
      </c>
      <c r="F118" t="s">
        <v>454</v>
      </c>
      <c r="G118" s="12">
        <v>34018</v>
      </c>
      <c r="H118" s="12">
        <v>0</v>
      </c>
      <c r="I118" t="s">
        <v>446</v>
      </c>
      <c r="J118" t="s">
        <v>748</v>
      </c>
      <c r="K118" t="s">
        <v>488</v>
      </c>
      <c r="L118" s="14">
        <v>46127.974039351851</v>
      </c>
    </row>
    <row r="119" spans="1:12" x14ac:dyDescent="0.35">
      <c r="A119" t="s">
        <v>749</v>
      </c>
      <c r="B119" t="s">
        <v>410</v>
      </c>
      <c r="C119" t="s">
        <v>285</v>
      </c>
      <c r="D119" s="6">
        <v>45783</v>
      </c>
      <c r="E119" t="s">
        <v>34</v>
      </c>
      <c r="F119" t="s">
        <v>440</v>
      </c>
      <c r="G119" s="12">
        <v>7008</v>
      </c>
      <c r="H119" s="12">
        <v>0</v>
      </c>
      <c r="I119" t="s">
        <v>446</v>
      </c>
      <c r="J119" t="s">
        <v>750</v>
      </c>
      <c r="K119" t="s">
        <v>437</v>
      </c>
      <c r="L119" s="14">
        <v>46127.974039351851</v>
      </c>
    </row>
    <row r="120" spans="1:12" x14ac:dyDescent="0.35">
      <c r="A120" t="s">
        <v>751</v>
      </c>
      <c r="B120" t="s">
        <v>275</v>
      </c>
      <c r="C120" t="s">
        <v>366</v>
      </c>
      <c r="D120" s="6">
        <v>46033</v>
      </c>
      <c r="E120" t="s">
        <v>35</v>
      </c>
      <c r="F120" t="s">
        <v>450</v>
      </c>
      <c r="G120" s="12">
        <v>24867</v>
      </c>
      <c r="H120" s="12">
        <v>22547.893447995186</v>
      </c>
      <c r="I120" t="s">
        <v>435</v>
      </c>
      <c r="J120" t="s">
        <v>752</v>
      </c>
      <c r="K120" t="s">
        <v>456</v>
      </c>
      <c r="L120" s="14">
        <v>46127.974039351851</v>
      </c>
    </row>
    <row r="121" spans="1:12" x14ac:dyDescent="0.35">
      <c r="A121" t="s">
        <v>753</v>
      </c>
      <c r="B121" t="s">
        <v>215</v>
      </c>
      <c r="C121" t="s">
        <v>197</v>
      </c>
      <c r="D121" s="6">
        <v>45874</v>
      </c>
      <c r="E121" t="s">
        <v>38</v>
      </c>
      <c r="F121" t="s">
        <v>434</v>
      </c>
      <c r="G121" s="12">
        <v>45833</v>
      </c>
      <c r="H121" s="12">
        <v>0</v>
      </c>
      <c r="I121" t="s">
        <v>446</v>
      </c>
      <c r="J121" t="s">
        <v>754</v>
      </c>
      <c r="K121" t="s">
        <v>488</v>
      </c>
      <c r="L121" s="14">
        <v>46127.974039351851</v>
      </c>
    </row>
    <row r="122" spans="1:12" x14ac:dyDescent="0.35">
      <c r="A122" t="s">
        <v>755</v>
      </c>
      <c r="B122" t="s">
        <v>183</v>
      </c>
      <c r="C122" t="s">
        <v>641</v>
      </c>
      <c r="D122" s="6">
        <v>45807</v>
      </c>
      <c r="E122" t="s">
        <v>37</v>
      </c>
      <c r="F122" t="s">
        <v>454</v>
      </c>
      <c r="G122" s="12">
        <v>46492</v>
      </c>
      <c r="H122" s="12">
        <v>36820.698058485985</v>
      </c>
      <c r="I122" t="s">
        <v>435</v>
      </c>
      <c r="J122" t="s">
        <v>756</v>
      </c>
      <c r="K122" t="s">
        <v>452</v>
      </c>
      <c r="L122" s="14">
        <v>46127.974039351851</v>
      </c>
    </row>
    <row r="123" spans="1:12" x14ac:dyDescent="0.35">
      <c r="A123" t="s">
        <v>757</v>
      </c>
      <c r="B123" t="s">
        <v>361</v>
      </c>
      <c r="C123" t="s">
        <v>758</v>
      </c>
      <c r="D123" s="6">
        <v>45818</v>
      </c>
      <c r="E123" t="s">
        <v>38</v>
      </c>
      <c r="F123" t="s">
        <v>434</v>
      </c>
      <c r="G123" s="12">
        <v>50033</v>
      </c>
      <c r="H123" s="12">
        <v>47516.862476325034</v>
      </c>
      <c r="I123" t="s">
        <v>435</v>
      </c>
      <c r="J123" t="s">
        <v>759</v>
      </c>
      <c r="K123" t="s">
        <v>488</v>
      </c>
      <c r="L123" s="14">
        <v>46127.974039351851</v>
      </c>
    </row>
    <row r="124" spans="1:12" x14ac:dyDescent="0.35">
      <c r="A124" t="s">
        <v>760</v>
      </c>
      <c r="B124" t="s">
        <v>288</v>
      </c>
      <c r="C124" t="s">
        <v>761</v>
      </c>
      <c r="D124" s="6">
        <v>45996</v>
      </c>
      <c r="E124" t="s">
        <v>34</v>
      </c>
      <c r="F124" t="s">
        <v>440</v>
      </c>
      <c r="G124" s="12">
        <v>6626</v>
      </c>
      <c r="H124" s="12">
        <v>0</v>
      </c>
      <c r="I124" t="s">
        <v>446</v>
      </c>
      <c r="J124" t="s">
        <v>762</v>
      </c>
      <c r="K124" t="s">
        <v>456</v>
      </c>
      <c r="L124" s="14">
        <v>46127.974039351851</v>
      </c>
    </row>
    <row r="125" spans="1:12" x14ac:dyDescent="0.35">
      <c r="A125" t="s">
        <v>763</v>
      </c>
      <c r="B125" t="s">
        <v>356</v>
      </c>
      <c r="C125" t="s">
        <v>764</v>
      </c>
      <c r="D125" s="6">
        <v>45830</v>
      </c>
      <c r="E125" t="s">
        <v>36</v>
      </c>
      <c r="F125" t="s">
        <v>440</v>
      </c>
      <c r="G125" s="12">
        <v>36283</v>
      </c>
      <c r="H125" s="12">
        <v>32927.607493370771</v>
      </c>
      <c r="I125" t="s">
        <v>435</v>
      </c>
      <c r="J125" t="s">
        <v>765</v>
      </c>
      <c r="K125" t="s">
        <v>468</v>
      </c>
      <c r="L125" s="14">
        <v>46127.974039351851</v>
      </c>
    </row>
    <row r="126" spans="1:12" x14ac:dyDescent="0.35">
      <c r="A126" t="s">
        <v>766</v>
      </c>
      <c r="B126" t="s">
        <v>267</v>
      </c>
      <c r="C126" t="s">
        <v>588</v>
      </c>
      <c r="D126" s="6">
        <v>45921</v>
      </c>
      <c r="E126" t="s">
        <v>34</v>
      </c>
      <c r="F126" t="s">
        <v>450</v>
      </c>
      <c r="G126" s="12">
        <v>40983</v>
      </c>
      <c r="H126" s="12">
        <v>32581.510600304602</v>
      </c>
      <c r="I126" t="s">
        <v>435</v>
      </c>
      <c r="J126" t="s">
        <v>767</v>
      </c>
      <c r="K126" t="s">
        <v>468</v>
      </c>
      <c r="L126" s="14">
        <v>46127.974039351851</v>
      </c>
    </row>
    <row r="127" spans="1:12" x14ac:dyDescent="0.35">
      <c r="A127" t="s">
        <v>768</v>
      </c>
      <c r="B127" t="s">
        <v>249</v>
      </c>
      <c r="C127" t="s">
        <v>641</v>
      </c>
      <c r="D127" s="6">
        <v>46068</v>
      </c>
      <c r="E127" t="s">
        <v>36</v>
      </c>
      <c r="F127" t="s">
        <v>445</v>
      </c>
      <c r="G127" s="12">
        <v>21337</v>
      </c>
      <c r="H127" s="12">
        <v>17656.900199574233</v>
      </c>
      <c r="I127" t="s">
        <v>435</v>
      </c>
      <c r="J127" t="s">
        <v>769</v>
      </c>
      <c r="K127" t="s">
        <v>468</v>
      </c>
      <c r="L127" s="14">
        <v>46127.974039351851</v>
      </c>
    </row>
    <row r="128" spans="1:12" x14ac:dyDescent="0.35">
      <c r="A128" t="s">
        <v>770</v>
      </c>
      <c r="B128" t="s">
        <v>292</v>
      </c>
      <c r="C128" t="s">
        <v>444</v>
      </c>
      <c r="D128" s="6">
        <v>45926</v>
      </c>
      <c r="E128" t="s">
        <v>39</v>
      </c>
      <c r="F128" t="s">
        <v>450</v>
      </c>
      <c r="G128" s="12">
        <v>19880</v>
      </c>
      <c r="H128" s="12">
        <v>14726.977670192717</v>
      </c>
      <c r="I128" t="s">
        <v>435</v>
      </c>
      <c r="J128" t="s">
        <v>771</v>
      </c>
      <c r="K128" t="s">
        <v>442</v>
      </c>
      <c r="L128" s="14">
        <v>46127.974039351851</v>
      </c>
    </row>
    <row r="129" spans="1:12" x14ac:dyDescent="0.35">
      <c r="A129" t="s">
        <v>772</v>
      </c>
      <c r="B129" t="s">
        <v>288</v>
      </c>
      <c r="C129" t="s">
        <v>686</v>
      </c>
      <c r="D129" s="6">
        <v>45825</v>
      </c>
      <c r="E129" t="s">
        <v>39</v>
      </c>
      <c r="F129" t="s">
        <v>450</v>
      </c>
      <c r="G129" s="12">
        <v>8948</v>
      </c>
      <c r="H129" s="12">
        <v>0</v>
      </c>
      <c r="I129" t="s">
        <v>446</v>
      </c>
      <c r="J129" t="s">
        <v>773</v>
      </c>
      <c r="K129" t="s">
        <v>437</v>
      </c>
      <c r="L129" s="14">
        <v>46127.974039351851</v>
      </c>
    </row>
    <row r="130" spans="1:12" x14ac:dyDescent="0.35">
      <c r="A130" t="s">
        <v>774</v>
      </c>
      <c r="B130" t="s">
        <v>372</v>
      </c>
      <c r="C130" t="s">
        <v>268</v>
      </c>
      <c r="D130" s="6">
        <v>45806</v>
      </c>
      <c r="E130" t="s">
        <v>34</v>
      </c>
      <c r="F130" t="s">
        <v>450</v>
      </c>
      <c r="G130" s="12">
        <v>35280</v>
      </c>
      <c r="H130" s="12">
        <v>24707.931371212006</v>
      </c>
      <c r="I130" t="s">
        <v>435</v>
      </c>
      <c r="J130" t="s">
        <v>775</v>
      </c>
      <c r="K130" t="s">
        <v>456</v>
      </c>
      <c r="L130" s="14">
        <v>46127.974039351851</v>
      </c>
    </row>
    <row r="131" spans="1:12" x14ac:dyDescent="0.35">
      <c r="A131" t="s">
        <v>776</v>
      </c>
      <c r="B131" t="s">
        <v>234</v>
      </c>
      <c r="C131" t="s">
        <v>777</v>
      </c>
      <c r="D131" s="6">
        <v>45865</v>
      </c>
      <c r="E131" t="s">
        <v>39</v>
      </c>
      <c r="F131" t="s">
        <v>454</v>
      </c>
      <c r="G131" s="12">
        <v>14397</v>
      </c>
      <c r="H131" s="12">
        <v>12155.572739875315</v>
      </c>
      <c r="I131" t="s">
        <v>435</v>
      </c>
      <c r="J131" t="s">
        <v>778</v>
      </c>
      <c r="K131" t="s">
        <v>488</v>
      </c>
      <c r="L131" s="14">
        <v>46127.974039351851</v>
      </c>
    </row>
    <row r="132" spans="1:12" x14ac:dyDescent="0.35">
      <c r="A132" t="s">
        <v>779</v>
      </c>
      <c r="B132" t="s">
        <v>343</v>
      </c>
      <c r="C132" t="s">
        <v>250</v>
      </c>
      <c r="D132" s="6">
        <v>45933</v>
      </c>
      <c r="E132" t="s">
        <v>38</v>
      </c>
      <c r="F132" t="s">
        <v>445</v>
      </c>
      <c r="G132" s="12">
        <v>5556</v>
      </c>
      <c r="H132" s="12">
        <v>5279.4988559961312</v>
      </c>
      <c r="I132" t="s">
        <v>435</v>
      </c>
      <c r="J132" t="s">
        <v>780</v>
      </c>
      <c r="K132" t="s">
        <v>442</v>
      </c>
      <c r="L132" s="14">
        <v>46127.974039351851</v>
      </c>
    </row>
    <row r="133" spans="1:12" x14ac:dyDescent="0.35">
      <c r="A133" t="s">
        <v>781</v>
      </c>
      <c r="B133" t="s">
        <v>269</v>
      </c>
      <c r="C133" t="s">
        <v>393</v>
      </c>
      <c r="D133" s="6">
        <v>45780</v>
      </c>
      <c r="E133" t="s">
        <v>38</v>
      </c>
      <c r="F133" t="s">
        <v>454</v>
      </c>
      <c r="G133" s="12">
        <v>1725</v>
      </c>
      <c r="H133" s="12">
        <v>0</v>
      </c>
      <c r="I133" t="s">
        <v>446</v>
      </c>
      <c r="J133" t="s">
        <v>782</v>
      </c>
      <c r="K133" t="s">
        <v>452</v>
      </c>
      <c r="L133" s="14">
        <v>46127.974039351851</v>
      </c>
    </row>
    <row r="134" spans="1:12" x14ac:dyDescent="0.35">
      <c r="A134" t="s">
        <v>783</v>
      </c>
      <c r="B134" t="s">
        <v>356</v>
      </c>
      <c r="C134" t="s">
        <v>656</v>
      </c>
      <c r="D134" s="6">
        <v>45807</v>
      </c>
      <c r="E134" t="s">
        <v>34</v>
      </c>
      <c r="F134" t="s">
        <v>445</v>
      </c>
      <c r="G134" s="12">
        <v>6631</v>
      </c>
      <c r="H134" s="12">
        <v>6462.344107306003</v>
      </c>
      <c r="I134" t="s">
        <v>435</v>
      </c>
      <c r="J134" t="s">
        <v>784</v>
      </c>
      <c r="K134" t="s">
        <v>456</v>
      </c>
      <c r="L134" s="14">
        <v>46127.974039351851</v>
      </c>
    </row>
    <row r="135" spans="1:12" x14ac:dyDescent="0.35">
      <c r="A135" t="s">
        <v>785</v>
      </c>
      <c r="B135" t="s">
        <v>244</v>
      </c>
      <c r="C135" t="s">
        <v>786</v>
      </c>
      <c r="D135" s="6">
        <v>45872</v>
      </c>
      <c r="E135" t="s">
        <v>36</v>
      </c>
      <c r="F135" t="s">
        <v>454</v>
      </c>
      <c r="G135" s="12">
        <v>15750</v>
      </c>
      <c r="H135" s="12">
        <v>0</v>
      </c>
      <c r="I135" t="s">
        <v>446</v>
      </c>
      <c r="J135" t="s">
        <v>787</v>
      </c>
      <c r="K135" t="s">
        <v>442</v>
      </c>
      <c r="L135" s="14">
        <v>46127.974039351851</v>
      </c>
    </row>
    <row r="136" spans="1:12" x14ac:dyDescent="0.35">
      <c r="A136" t="s">
        <v>788</v>
      </c>
      <c r="B136" t="s">
        <v>325</v>
      </c>
      <c r="C136" t="s">
        <v>723</v>
      </c>
      <c r="D136" s="6">
        <v>46057</v>
      </c>
      <c r="E136" t="s">
        <v>37</v>
      </c>
      <c r="F136" t="s">
        <v>445</v>
      </c>
      <c r="G136" s="12">
        <v>42108</v>
      </c>
      <c r="H136" s="12">
        <v>40376.505541920662</v>
      </c>
      <c r="I136" t="s">
        <v>435</v>
      </c>
      <c r="J136" t="s">
        <v>789</v>
      </c>
      <c r="K136" t="s">
        <v>437</v>
      </c>
      <c r="L136" s="14">
        <v>46127.974039351851</v>
      </c>
    </row>
    <row r="137" spans="1:12" x14ac:dyDescent="0.35">
      <c r="A137" t="s">
        <v>790</v>
      </c>
      <c r="B137" t="s">
        <v>375</v>
      </c>
      <c r="C137" t="s">
        <v>791</v>
      </c>
      <c r="D137" s="6">
        <v>45786</v>
      </c>
      <c r="E137" t="s">
        <v>38</v>
      </c>
      <c r="F137" t="s">
        <v>450</v>
      </c>
      <c r="G137" s="12">
        <v>23145</v>
      </c>
      <c r="H137" s="12">
        <v>0</v>
      </c>
      <c r="I137" t="s">
        <v>446</v>
      </c>
      <c r="J137" t="s">
        <v>792</v>
      </c>
      <c r="K137" t="s">
        <v>437</v>
      </c>
      <c r="L137" s="14">
        <v>46127.974039351851</v>
      </c>
    </row>
    <row r="138" spans="1:12" x14ac:dyDescent="0.35">
      <c r="A138" t="s">
        <v>793</v>
      </c>
      <c r="B138" t="s">
        <v>277</v>
      </c>
      <c r="C138" t="s">
        <v>794</v>
      </c>
      <c r="D138" s="6">
        <v>45824</v>
      </c>
      <c r="E138" t="s">
        <v>39</v>
      </c>
      <c r="F138" t="s">
        <v>434</v>
      </c>
      <c r="G138" s="12">
        <v>43871</v>
      </c>
      <c r="H138" s="12">
        <v>34520.10342619419</v>
      </c>
      <c r="I138" t="s">
        <v>435</v>
      </c>
      <c r="J138" t="s">
        <v>795</v>
      </c>
      <c r="K138" t="s">
        <v>456</v>
      </c>
      <c r="L138" s="14">
        <v>46127.974039351851</v>
      </c>
    </row>
    <row r="139" spans="1:12" x14ac:dyDescent="0.35">
      <c r="A139" t="s">
        <v>796</v>
      </c>
      <c r="B139" t="s">
        <v>217</v>
      </c>
      <c r="C139" t="s">
        <v>224</v>
      </c>
      <c r="D139" s="6">
        <v>45999</v>
      </c>
      <c r="E139" t="s">
        <v>38</v>
      </c>
      <c r="F139" t="s">
        <v>440</v>
      </c>
      <c r="G139" s="12">
        <v>25618</v>
      </c>
      <c r="H139" s="12">
        <v>21477.053791368005</v>
      </c>
      <c r="I139" t="s">
        <v>435</v>
      </c>
      <c r="J139" t="s">
        <v>797</v>
      </c>
      <c r="K139" t="s">
        <v>452</v>
      </c>
      <c r="L139" s="14">
        <v>46127.974039351851</v>
      </c>
    </row>
    <row r="140" spans="1:12" x14ac:dyDescent="0.35">
      <c r="A140" t="s">
        <v>798</v>
      </c>
      <c r="B140" t="s">
        <v>237</v>
      </c>
      <c r="C140" t="s">
        <v>667</v>
      </c>
      <c r="D140" s="6">
        <v>45836</v>
      </c>
      <c r="E140" t="s">
        <v>35</v>
      </c>
      <c r="F140" t="s">
        <v>450</v>
      </c>
      <c r="G140" s="12">
        <v>40501</v>
      </c>
      <c r="H140" s="12">
        <v>30487.979561221597</v>
      </c>
      <c r="I140" t="s">
        <v>435</v>
      </c>
      <c r="J140" t="s">
        <v>799</v>
      </c>
      <c r="K140" t="s">
        <v>452</v>
      </c>
      <c r="L140" s="14">
        <v>46127.974039351851</v>
      </c>
    </row>
    <row r="141" spans="1:12" x14ac:dyDescent="0.35">
      <c r="A141" t="s">
        <v>800</v>
      </c>
      <c r="B141" t="s">
        <v>189</v>
      </c>
      <c r="C141" t="s">
        <v>801</v>
      </c>
      <c r="D141" s="6">
        <v>45929</v>
      </c>
      <c r="E141" t="s">
        <v>34</v>
      </c>
      <c r="F141" t="s">
        <v>454</v>
      </c>
      <c r="G141" s="12">
        <v>8147</v>
      </c>
      <c r="H141" s="12">
        <v>6389.8659401834011</v>
      </c>
      <c r="I141" t="s">
        <v>435</v>
      </c>
      <c r="J141" t="s">
        <v>802</v>
      </c>
      <c r="K141" t="s">
        <v>437</v>
      </c>
      <c r="L141" s="14">
        <v>46127.974039351851</v>
      </c>
    </row>
    <row r="142" spans="1:12" x14ac:dyDescent="0.35">
      <c r="A142" t="s">
        <v>803</v>
      </c>
      <c r="B142" t="s">
        <v>196</v>
      </c>
      <c r="C142" t="s">
        <v>184</v>
      </c>
      <c r="D142" s="6">
        <v>46102</v>
      </c>
      <c r="E142" t="s">
        <v>38</v>
      </c>
      <c r="F142" t="s">
        <v>450</v>
      </c>
      <c r="G142" s="12">
        <v>25035</v>
      </c>
      <c r="H142" s="12">
        <v>0</v>
      </c>
      <c r="I142" t="s">
        <v>446</v>
      </c>
      <c r="J142" t="s">
        <v>804</v>
      </c>
      <c r="K142" t="s">
        <v>488</v>
      </c>
      <c r="L142" s="14">
        <v>46127.974039351851</v>
      </c>
    </row>
    <row r="143" spans="1:12" x14ac:dyDescent="0.35">
      <c r="A143" t="s">
        <v>805</v>
      </c>
      <c r="B143" t="s">
        <v>358</v>
      </c>
      <c r="C143" t="s">
        <v>709</v>
      </c>
      <c r="D143" s="6">
        <v>45992</v>
      </c>
      <c r="E143" t="s">
        <v>39</v>
      </c>
      <c r="F143" t="s">
        <v>445</v>
      </c>
      <c r="G143" s="12">
        <v>35262</v>
      </c>
      <c r="H143" s="12">
        <v>0</v>
      </c>
      <c r="I143" t="s">
        <v>446</v>
      </c>
      <c r="J143" t="s">
        <v>806</v>
      </c>
      <c r="K143" t="s">
        <v>468</v>
      </c>
      <c r="L143" s="14">
        <v>46127.974039351851</v>
      </c>
    </row>
    <row r="144" spans="1:12" x14ac:dyDescent="0.35">
      <c r="A144" t="s">
        <v>807</v>
      </c>
      <c r="B144" t="s">
        <v>407</v>
      </c>
      <c r="C144" t="s">
        <v>808</v>
      </c>
      <c r="D144" s="6">
        <v>46021</v>
      </c>
      <c r="E144" t="s">
        <v>35</v>
      </c>
      <c r="F144" t="s">
        <v>450</v>
      </c>
      <c r="G144" s="12">
        <v>5641</v>
      </c>
      <c r="H144" s="12">
        <v>0</v>
      </c>
      <c r="I144" t="s">
        <v>446</v>
      </c>
      <c r="J144" t="s">
        <v>809</v>
      </c>
      <c r="K144" t="s">
        <v>456</v>
      </c>
      <c r="L144" s="14">
        <v>46127.974039351851</v>
      </c>
    </row>
    <row r="145" spans="1:12" x14ac:dyDescent="0.35">
      <c r="A145" t="s">
        <v>810</v>
      </c>
      <c r="B145" t="s">
        <v>351</v>
      </c>
      <c r="C145" t="s">
        <v>811</v>
      </c>
      <c r="D145" s="6">
        <v>46123</v>
      </c>
      <c r="E145" t="s">
        <v>37</v>
      </c>
      <c r="F145" t="s">
        <v>440</v>
      </c>
      <c r="G145" s="12">
        <v>9995</v>
      </c>
      <c r="H145" s="12">
        <v>8993.1628789305687</v>
      </c>
      <c r="I145" t="s">
        <v>435</v>
      </c>
      <c r="J145" t="s">
        <v>812</v>
      </c>
      <c r="K145" t="s">
        <v>468</v>
      </c>
      <c r="L145" s="14">
        <v>46127.974039351851</v>
      </c>
    </row>
    <row r="146" spans="1:12" x14ac:dyDescent="0.35">
      <c r="A146" t="s">
        <v>813</v>
      </c>
      <c r="B146" t="s">
        <v>410</v>
      </c>
      <c r="C146" t="s">
        <v>180</v>
      </c>
      <c r="D146" s="6">
        <v>46093</v>
      </c>
      <c r="E146" t="s">
        <v>37</v>
      </c>
      <c r="F146" t="s">
        <v>454</v>
      </c>
      <c r="G146" s="12">
        <v>19463</v>
      </c>
      <c r="H146" s="12">
        <v>14924.36073231101</v>
      </c>
      <c r="I146" t="s">
        <v>435</v>
      </c>
      <c r="J146" t="s">
        <v>814</v>
      </c>
      <c r="K146" t="s">
        <v>456</v>
      </c>
      <c r="L146" s="14">
        <v>46127.974039351851</v>
      </c>
    </row>
    <row r="147" spans="1:12" x14ac:dyDescent="0.35">
      <c r="A147" t="s">
        <v>815</v>
      </c>
      <c r="B147" t="s">
        <v>392</v>
      </c>
      <c r="C147" t="s">
        <v>516</v>
      </c>
      <c r="D147" s="6">
        <v>46028</v>
      </c>
      <c r="E147" t="s">
        <v>37</v>
      </c>
      <c r="F147" t="s">
        <v>454</v>
      </c>
      <c r="G147" s="12">
        <v>50827</v>
      </c>
      <c r="H147" s="12">
        <v>49021.285387539858</v>
      </c>
      <c r="I147" t="s">
        <v>435</v>
      </c>
      <c r="J147" t="s">
        <v>816</v>
      </c>
      <c r="K147" t="s">
        <v>437</v>
      </c>
      <c r="L147" s="14">
        <v>46127.974039351851</v>
      </c>
    </row>
    <row r="148" spans="1:12" x14ac:dyDescent="0.35">
      <c r="A148" t="s">
        <v>817</v>
      </c>
      <c r="B148" t="s">
        <v>280</v>
      </c>
      <c r="C148" t="s">
        <v>675</v>
      </c>
      <c r="D148" s="6">
        <v>46053</v>
      </c>
      <c r="E148" t="s">
        <v>37</v>
      </c>
      <c r="F148" t="s">
        <v>445</v>
      </c>
      <c r="G148" s="12">
        <v>40285</v>
      </c>
      <c r="H148" s="12">
        <v>37872.847521156073</v>
      </c>
      <c r="I148" t="s">
        <v>435</v>
      </c>
      <c r="J148" t="s">
        <v>818</v>
      </c>
      <c r="K148" t="s">
        <v>468</v>
      </c>
      <c r="L148" s="14">
        <v>46127.974039351851</v>
      </c>
    </row>
    <row r="149" spans="1:12" x14ac:dyDescent="0.35">
      <c r="A149" t="s">
        <v>819</v>
      </c>
      <c r="B149" t="s">
        <v>242</v>
      </c>
      <c r="C149" t="s">
        <v>820</v>
      </c>
      <c r="D149" s="6">
        <v>46026</v>
      </c>
      <c r="E149" t="s">
        <v>38</v>
      </c>
      <c r="F149" t="s">
        <v>445</v>
      </c>
      <c r="G149" s="12">
        <v>13248</v>
      </c>
      <c r="H149" s="12">
        <v>12320.040598297119</v>
      </c>
      <c r="I149" t="s">
        <v>435</v>
      </c>
      <c r="J149" t="s">
        <v>821</v>
      </c>
      <c r="K149" t="s">
        <v>488</v>
      </c>
      <c r="L149" s="14">
        <v>46127.974039351851</v>
      </c>
    </row>
    <row r="150" spans="1:12" x14ac:dyDescent="0.35">
      <c r="A150" t="s">
        <v>822</v>
      </c>
      <c r="B150" t="s">
        <v>422</v>
      </c>
      <c r="C150" t="s">
        <v>744</v>
      </c>
      <c r="D150" s="6">
        <v>46107</v>
      </c>
      <c r="E150" t="s">
        <v>39</v>
      </c>
      <c r="F150" t="s">
        <v>445</v>
      </c>
      <c r="G150" s="12">
        <v>18954</v>
      </c>
      <c r="H150" s="12">
        <v>0</v>
      </c>
      <c r="I150" t="s">
        <v>446</v>
      </c>
      <c r="J150" t="s">
        <v>823</v>
      </c>
      <c r="K150" t="s">
        <v>437</v>
      </c>
      <c r="L150" s="14">
        <v>46127.974039351851</v>
      </c>
    </row>
    <row r="151" spans="1:12" x14ac:dyDescent="0.35">
      <c r="A151" t="s">
        <v>824</v>
      </c>
      <c r="B151" t="s">
        <v>228</v>
      </c>
      <c r="C151" t="s">
        <v>686</v>
      </c>
      <c r="D151" s="6">
        <v>46048</v>
      </c>
      <c r="E151" t="s">
        <v>35</v>
      </c>
      <c r="F151" t="s">
        <v>454</v>
      </c>
      <c r="G151" s="12">
        <v>17594</v>
      </c>
      <c r="H151" s="12">
        <v>0</v>
      </c>
      <c r="I151" t="s">
        <v>446</v>
      </c>
      <c r="J151" t="s">
        <v>825</v>
      </c>
      <c r="K151" t="s">
        <v>488</v>
      </c>
      <c r="L151" s="14">
        <v>46127.974039351851</v>
      </c>
    </row>
    <row r="152" spans="1:12" x14ac:dyDescent="0.35">
      <c r="A152" t="s">
        <v>826</v>
      </c>
      <c r="B152" t="s">
        <v>246</v>
      </c>
      <c r="C152" t="s">
        <v>744</v>
      </c>
      <c r="D152" s="6">
        <v>46117</v>
      </c>
      <c r="E152" t="s">
        <v>36</v>
      </c>
      <c r="F152" t="s">
        <v>445</v>
      </c>
      <c r="G152" s="12">
        <v>50523</v>
      </c>
      <c r="H152" s="12">
        <v>46867.780435341592</v>
      </c>
      <c r="I152" t="s">
        <v>435</v>
      </c>
      <c r="J152" t="s">
        <v>827</v>
      </c>
      <c r="K152" t="s">
        <v>437</v>
      </c>
      <c r="L152" s="14">
        <v>46127.974039351851</v>
      </c>
    </row>
    <row r="153" spans="1:12" x14ac:dyDescent="0.35">
      <c r="A153" t="s">
        <v>828</v>
      </c>
      <c r="B153" t="s">
        <v>211</v>
      </c>
      <c r="C153" t="s">
        <v>562</v>
      </c>
      <c r="D153" s="6">
        <v>45935</v>
      </c>
      <c r="E153" t="s">
        <v>34</v>
      </c>
      <c r="F153" t="s">
        <v>434</v>
      </c>
      <c r="G153" s="12">
        <v>15113</v>
      </c>
      <c r="H153" s="12">
        <v>11393.046856474875</v>
      </c>
      <c r="I153" t="s">
        <v>435</v>
      </c>
      <c r="J153" t="s">
        <v>829</v>
      </c>
      <c r="K153" t="s">
        <v>442</v>
      </c>
      <c r="L153" s="14">
        <v>46127.974039351851</v>
      </c>
    </row>
    <row r="154" spans="1:12" x14ac:dyDescent="0.35">
      <c r="A154" t="s">
        <v>830</v>
      </c>
      <c r="B154" t="s">
        <v>403</v>
      </c>
      <c r="C154" t="s">
        <v>831</v>
      </c>
      <c r="D154" s="6">
        <v>45982</v>
      </c>
      <c r="E154" t="s">
        <v>37</v>
      </c>
      <c r="F154" t="s">
        <v>434</v>
      </c>
      <c r="G154" s="12">
        <v>6634</v>
      </c>
      <c r="H154" s="12">
        <v>0</v>
      </c>
      <c r="I154" t="s">
        <v>446</v>
      </c>
      <c r="J154" t="s">
        <v>832</v>
      </c>
      <c r="K154" t="s">
        <v>468</v>
      </c>
      <c r="L154" s="14">
        <v>46127.974039351851</v>
      </c>
    </row>
    <row r="155" spans="1:12" x14ac:dyDescent="0.35">
      <c r="A155" t="s">
        <v>833</v>
      </c>
      <c r="B155" t="s">
        <v>347</v>
      </c>
      <c r="C155" t="s">
        <v>834</v>
      </c>
      <c r="D155" s="6">
        <v>45786</v>
      </c>
      <c r="E155" t="s">
        <v>39</v>
      </c>
      <c r="F155" t="s">
        <v>434</v>
      </c>
      <c r="G155" s="12">
        <v>1570</v>
      </c>
      <c r="H155" s="12">
        <v>1179.0047643780708</v>
      </c>
      <c r="I155" t="s">
        <v>435</v>
      </c>
      <c r="J155" t="s">
        <v>835</v>
      </c>
      <c r="K155" t="s">
        <v>456</v>
      </c>
      <c r="L155" s="14">
        <v>46127.974039351851</v>
      </c>
    </row>
    <row r="156" spans="1:12" x14ac:dyDescent="0.35">
      <c r="A156" t="s">
        <v>836</v>
      </c>
      <c r="B156" t="s">
        <v>306</v>
      </c>
      <c r="C156" t="s">
        <v>203</v>
      </c>
      <c r="D156" s="6">
        <v>46087</v>
      </c>
      <c r="E156" t="s">
        <v>36</v>
      </c>
      <c r="F156" t="s">
        <v>445</v>
      </c>
      <c r="G156" s="12">
        <v>12337</v>
      </c>
      <c r="H156" s="12">
        <v>11571.685819411277</v>
      </c>
      <c r="I156" t="s">
        <v>435</v>
      </c>
      <c r="J156" t="s">
        <v>837</v>
      </c>
      <c r="K156" t="s">
        <v>468</v>
      </c>
      <c r="L156" s="14">
        <v>46127.974039351851</v>
      </c>
    </row>
    <row r="157" spans="1:12" x14ac:dyDescent="0.35">
      <c r="A157" t="s">
        <v>838</v>
      </c>
      <c r="B157" t="s">
        <v>365</v>
      </c>
      <c r="C157" t="s">
        <v>594</v>
      </c>
      <c r="D157" s="6">
        <v>45935</v>
      </c>
      <c r="E157" t="s">
        <v>35</v>
      </c>
      <c r="F157" t="s">
        <v>450</v>
      </c>
      <c r="G157" s="12">
        <v>2717</v>
      </c>
      <c r="H157" s="12">
        <v>0</v>
      </c>
      <c r="I157" t="s">
        <v>446</v>
      </c>
      <c r="J157" t="s">
        <v>839</v>
      </c>
      <c r="K157" t="s">
        <v>452</v>
      </c>
      <c r="L157" s="14">
        <v>46127.974039351851</v>
      </c>
    </row>
    <row r="158" spans="1:12" x14ac:dyDescent="0.35">
      <c r="A158" t="s">
        <v>840</v>
      </c>
      <c r="B158" t="s">
        <v>315</v>
      </c>
      <c r="C158" t="s">
        <v>272</v>
      </c>
      <c r="D158" s="6">
        <v>45940</v>
      </c>
      <c r="E158" t="s">
        <v>37</v>
      </c>
      <c r="F158" t="s">
        <v>454</v>
      </c>
      <c r="G158" s="12">
        <v>36710</v>
      </c>
      <c r="H158" s="12">
        <v>28096.123296201229</v>
      </c>
      <c r="I158" t="s">
        <v>435</v>
      </c>
      <c r="J158" t="s">
        <v>841</v>
      </c>
      <c r="K158" t="s">
        <v>456</v>
      </c>
      <c r="L158" s="14">
        <v>46127.974039351851</v>
      </c>
    </row>
    <row r="159" spans="1:12" x14ac:dyDescent="0.35">
      <c r="A159" t="s">
        <v>842</v>
      </c>
      <c r="B159" t="s">
        <v>292</v>
      </c>
      <c r="C159" t="s">
        <v>843</v>
      </c>
      <c r="D159" s="6">
        <v>45931</v>
      </c>
      <c r="E159" t="s">
        <v>36</v>
      </c>
      <c r="F159" t="s">
        <v>450</v>
      </c>
      <c r="G159" s="12">
        <v>5033</v>
      </c>
      <c r="H159" s="12">
        <v>3661.6022248983381</v>
      </c>
      <c r="I159" t="s">
        <v>435</v>
      </c>
      <c r="J159" t="s">
        <v>844</v>
      </c>
      <c r="K159" t="s">
        <v>437</v>
      </c>
      <c r="L159" s="14">
        <v>46127.974039351851</v>
      </c>
    </row>
    <row r="160" spans="1:12" x14ac:dyDescent="0.35">
      <c r="A160" t="s">
        <v>845</v>
      </c>
      <c r="B160" t="s">
        <v>390</v>
      </c>
      <c r="C160" t="s">
        <v>846</v>
      </c>
      <c r="D160" s="6">
        <v>45986</v>
      </c>
      <c r="E160" t="s">
        <v>34</v>
      </c>
      <c r="F160" t="s">
        <v>440</v>
      </c>
      <c r="G160" s="12">
        <v>1157</v>
      </c>
      <c r="H160" s="12">
        <v>817.89813451170915</v>
      </c>
      <c r="I160" t="s">
        <v>435</v>
      </c>
      <c r="J160" t="s">
        <v>847</v>
      </c>
      <c r="K160" t="s">
        <v>488</v>
      </c>
      <c r="L160" s="14">
        <v>46127.974039351851</v>
      </c>
    </row>
    <row r="161" spans="1:12" x14ac:dyDescent="0.35">
      <c r="A161" t="s">
        <v>848</v>
      </c>
      <c r="B161" t="s">
        <v>408</v>
      </c>
      <c r="C161" t="s">
        <v>849</v>
      </c>
      <c r="D161" s="6">
        <v>45945</v>
      </c>
      <c r="E161" t="s">
        <v>34</v>
      </c>
      <c r="F161" t="s">
        <v>434</v>
      </c>
      <c r="G161" s="12">
        <v>16828</v>
      </c>
      <c r="H161" s="12">
        <v>15510.658691263197</v>
      </c>
      <c r="I161" t="s">
        <v>435</v>
      </c>
      <c r="J161" t="s">
        <v>850</v>
      </c>
      <c r="K161" t="s">
        <v>437</v>
      </c>
      <c r="L161" s="14">
        <v>46127.974039351851</v>
      </c>
    </row>
    <row r="162" spans="1:12" x14ac:dyDescent="0.35">
      <c r="A162" t="s">
        <v>851</v>
      </c>
      <c r="B162" t="s">
        <v>300</v>
      </c>
      <c r="C162" t="s">
        <v>834</v>
      </c>
      <c r="D162" s="6">
        <v>45890</v>
      </c>
      <c r="E162" t="s">
        <v>36</v>
      </c>
      <c r="F162" t="s">
        <v>450</v>
      </c>
      <c r="G162" s="12">
        <v>32948</v>
      </c>
      <c r="H162" s="12">
        <v>0</v>
      </c>
      <c r="I162" t="s">
        <v>446</v>
      </c>
      <c r="J162" t="s">
        <v>852</v>
      </c>
      <c r="K162" t="s">
        <v>442</v>
      </c>
      <c r="L162" s="14">
        <v>46127.974039351851</v>
      </c>
    </row>
    <row r="163" spans="1:12" x14ac:dyDescent="0.35">
      <c r="A163" t="s">
        <v>853</v>
      </c>
      <c r="B163" t="s">
        <v>277</v>
      </c>
      <c r="C163" t="s">
        <v>854</v>
      </c>
      <c r="D163" s="6">
        <v>45851</v>
      </c>
      <c r="E163" t="s">
        <v>37</v>
      </c>
      <c r="F163" t="s">
        <v>450</v>
      </c>
      <c r="G163" s="12">
        <v>47265</v>
      </c>
      <c r="H163" s="12">
        <v>0</v>
      </c>
      <c r="I163" t="s">
        <v>446</v>
      </c>
      <c r="J163" t="s">
        <v>855</v>
      </c>
      <c r="K163" t="s">
        <v>452</v>
      </c>
      <c r="L163" s="14">
        <v>46127.974039351851</v>
      </c>
    </row>
    <row r="164" spans="1:12" x14ac:dyDescent="0.35">
      <c r="A164" t="s">
        <v>856</v>
      </c>
      <c r="B164" t="s">
        <v>205</v>
      </c>
      <c r="C164" t="s">
        <v>364</v>
      </c>
      <c r="D164" s="6">
        <v>45835</v>
      </c>
      <c r="E164" t="s">
        <v>36</v>
      </c>
      <c r="F164" t="s">
        <v>445</v>
      </c>
      <c r="G164" s="12">
        <v>40524</v>
      </c>
      <c r="H164" s="12">
        <v>38696.768901515003</v>
      </c>
      <c r="I164" t="s">
        <v>435</v>
      </c>
      <c r="J164" t="s">
        <v>857</v>
      </c>
      <c r="K164" t="s">
        <v>468</v>
      </c>
      <c r="L164" s="14">
        <v>46127.974039351851</v>
      </c>
    </row>
    <row r="165" spans="1:12" x14ac:dyDescent="0.35">
      <c r="A165" t="s">
        <v>858</v>
      </c>
      <c r="B165" t="s">
        <v>202</v>
      </c>
      <c r="C165" t="s">
        <v>594</v>
      </c>
      <c r="D165" s="6">
        <v>45923</v>
      </c>
      <c r="E165" t="s">
        <v>37</v>
      </c>
      <c r="F165" t="s">
        <v>440</v>
      </c>
      <c r="G165" s="12">
        <v>33088</v>
      </c>
      <c r="H165" s="12">
        <v>31779.620646667478</v>
      </c>
      <c r="I165" t="s">
        <v>435</v>
      </c>
      <c r="J165" t="s">
        <v>859</v>
      </c>
      <c r="K165" t="s">
        <v>452</v>
      </c>
      <c r="L165" s="14">
        <v>46127.974039351851</v>
      </c>
    </row>
    <row r="166" spans="1:12" x14ac:dyDescent="0.35">
      <c r="A166" t="s">
        <v>860</v>
      </c>
      <c r="B166" t="s">
        <v>300</v>
      </c>
      <c r="C166" t="s">
        <v>449</v>
      </c>
      <c r="D166" s="6">
        <v>45974</v>
      </c>
      <c r="E166" t="s">
        <v>36</v>
      </c>
      <c r="F166" t="s">
        <v>445</v>
      </c>
      <c r="G166" s="12">
        <v>36354</v>
      </c>
      <c r="H166" s="12">
        <v>0</v>
      </c>
      <c r="I166" t="s">
        <v>446</v>
      </c>
      <c r="J166" t="s">
        <v>654</v>
      </c>
      <c r="K166" t="s">
        <v>442</v>
      </c>
      <c r="L166" s="14">
        <v>46127.974039351851</v>
      </c>
    </row>
    <row r="167" spans="1:12" x14ac:dyDescent="0.35">
      <c r="A167" t="s">
        <v>861</v>
      </c>
      <c r="B167" t="s">
        <v>333</v>
      </c>
      <c r="C167" t="s">
        <v>862</v>
      </c>
      <c r="D167" s="6">
        <v>45918</v>
      </c>
      <c r="E167" t="s">
        <v>35</v>
      </c>
      <c r="F167" t="s">
        <v>440</v>
      </c>
      <c r="G167" s="12">
        <v>24823</v>
      </c>
      <c r="H167" s="12">
        <v>19208.569983428715</v>
      </c>
      <c r="I167" t="s">
        <v>435</v>
      </c>
      <c r="J167" t="s">
        <v>863</v>
      </c>
      <c r="K167" t="s">
        <v>452</v>
      </c>
      <c r="L167" s="14">
        <v>46127.974039351851</v>
      </c>
    </row>
    <row r="168" spans="1:12" x14ac:dyDescent="0.35">
      <c r="A168" t="s">
        <v>864</v>
      </c>
      <c r="B168" t="s">
        <v>392</v>
      </c>
      <c r="C168" t="s">
        <v>555</v>
      </c>
      <c r="D168" s="6">
        <v>45958</v>
      </c>
      <c r="E168" t="s">
        <v>39</v>
      </c>
      <c r="F168" t="s">
        <v>440</v>
      </c>
      <c r="G168" s="12">
        <v>46572</v>
      </c>
      <c r="H168" s="12">
        <v>0</v>
      </c>
      <c r="I168" t="s">
        <v>446</v>
      </c>
      <c r="J168" t="s">
        <v>865</v>
      </c>
      <c r="K168" t="s">
        <v>452</v>
      </c>
      <c r="L168" s="14">
        <v>46127.974039351851</v>
      </c>
    </row>
    <row r="169" spans="1:12" x14ac:dyDescent="0.35">
      <c r="A169" t="s">
        <v>866</v>
      </c>
      <c r="B169" t="s">
        <v>262</v>
      </c>
      <c r="C169" t="s">
        <v>402</v>
      </c>
      <c r="D169" s="6">
        <v>45789</v>
      </c>
      <c r="E169" t="s">
        <v>34</v>
      </c>
      <c r="F169" t="s">
        <v>434</v>
      </c>
      <c r="G169" s="12">
        <v>17559</v>
      </c>
      <c r="H169" s="12">
        <v>0</v>
      </c>
      <c r="I169" t="s">
        <v>446</v>
      </c>
      <c r="J169" t="s">
        <v>867</v>
      </c>
      <c r="K169" t="s">
        <v>452</v>
      </c>
      <c r="L169" s="14">
        <v>46127.974039351851</v>
      </c>
    </row>
    <row r="170" spans="1:12" x14ac:dyDescent="0.35">
      <c r="A170" t="s">
        <v>868</v>
      </c>
      <c r="B170" t="s">
        <v>367</v>
      </c>
      <c r="C170" t="s">
        <v>568</v>
      </c>
      <c r="D170" s="6">
        <v>45868</v>
      </c>
      <c r="E170" t="s">
        <v>34</v>
      </c>
      <c r="F170" t="s">
        <v>440</v>
      </c>
      <c r="G170" s="12">
        <v>28437</v>
      </c>
      <c r="H170" s="12">
        <v>20441.506041669843</v>
      </c>
      <c r="I170" t="s">
        <v>435</v>
      </c>
      <c r="J170" t="s">
        <v>869</v>
      </c>
      <c r="K170" t="s">
        <v>452</v>
      </c>
      <c r="L170" s="14">
        <v>46127.974039351851</v>
      </c>
    </row>
    <row r="171" spans="1:12" x14ac:dyDescent="0.35">
      <c r="A171" t="s">
        <v>870</v>
      </c>
      <c r="B171" t="s">
        <v>377</v>
      </c>
      <c r="C171" t="s">
        <v>871</v>
      </c>
      <c r="D171" s="6">
        <v>45876</v>
      </c>
      <c r="E171" t="s">
        <v>39</v>
      </c>
      <c r="F171" t="s">
        <v>440</v>
      </c>
      <c r="G171" s="12">
        <v>40028</v>
      </c>
      <c r="H171" s="12">
        <v>0</v>
      </c>
      <c r="I171" t="s">
        <v>446</v>
      </c>
      <c r="J171" t="s">
        <v>872</v>
      </c>
      <c r="K171" t="s">
        <v>468</v>
      </c>
      <c r="L171" s="14">
        <v>46127.974039351851</v>
      </c>
    </row>
    <row r="172" spans="1:12" x14ac:dyDescent="0.35">
      <c r="A172" t="s">
        <v>873</v>
      </c>
      <c r="B172" t="s">
        <v>288</v>
      </c>
      <c r="C172" t="s">
        <v>307</v>
      </c>
      <c r="D172" s="6">
        <v>46035</v>
      </c>
      <c r="E172" t="s">
        <v>35</v>
      </c>
      <c r="F172" t="s">
        <v>450</v>
      </c>
      <c r="G172" s="12">
        <v>50709</v>
      </c>
      <c r="H172" s="12">
        <v>42714.691700845957</v>
      </c>
      <c r="I172" t="s">
        <v>435</v>
      </c>
      <c r="J172" t="s">
        <v>874</v>
      </c>
      <c r="K172" t="s">
        <v>456</v>
      </c>
      <c r="L172" s="14">
        <v>46127.974039351851</v>
      </c>
    </row>
    <row r="173" spans="1:12" x14ac:dyDescent="0.35">
      <c r="A173" t="s">
        <v>875</v>
      </c>
      <c r="B173" t="s">
        <v>183</v>
      </c>
      <c r="C173" t="s">
        <v>876</v>
      </c>
      <c r="D173" s="6">
        <v>46107</v>
      </c>
      <c r="E173" t="s">
        <v>37</v>
      </c>
      <c r="F173" t="s">
        <v>445</v>
      </c>
      <c r="G173" s="12">
        <v>43266</v>
      </c>
      <c r="H173" s="12">
        <v>38823.139047145844</v>
      </c>
      <c r="I173" t="s">
        <v>435</v>
      </c>
      <c r="J173" t="s">
        <v>877</v>
      </c>
      <c r="K173" t="s">
        <v>442</v>
      </c>
      <c r="L173" s="14">
        <v>46127.974039351851</v>
      </c>
    </row>
    <row r="174" spans="1:12" x14ac:dyDescent="0.35">
      <c r="A174" t="s">
        <v>878</v>
      </c>
      <c r="B174" t="s">
        <v>363</v>
      </c>
      <c r="C174" t="s">
        <v>324</v>
      </c>
      <c r="D174" s="6">
        <v>46100</v>
      </c>
      <c r="E174" t="s">
        <v>39</v>
      </c>
      <c r="F174" t="s">
        <v>450</v>
      </c>
      <c r="G174" s="12">
        <v>33507</v>
      </c>
      <c r="H174" s="12">
        <v>26133.964956361055</v>
      </c>
      <c r="I174" t="s">
        <v>435</v>
      </c>
      <c r="J174" t="s">
        <v>879</v>
      </c>
      <c r="K174" t="s">
        <v>442</v>
      </c>
      <c r="L174" s="14">
        <v>46127.974039351851</v>
      </c>
    </row>
    <row r="175" spans="1:12" x14ac:dyDescent="0.35">
      <c r="A175" t="s">
        <v>880</v>
      </c>
      <c r="B175" t="s">
        <v>360</v>
      </c>
      <c r="C175" t="s">
        <v>398</v>
      </c>
      <c r="D175" s="6">
        <v>45970</v>
      </c>
      <c r="E175" t="s">
        <v>39</v>
      </c>
      <c r="F175" t="s">
        <v>454</v>
      </c>
      <c r="G175" s="12">
        <v>34513</v>
      </c>
      <c r="H175" s="12">
        <v>0</v>
      </c>
      <c r="I175" t="s">
        <v>446</v>
      </c>
      <c r="J175" t="s">
        <v>881</v>
      </c>
      <c r="K175" t="s">
        <v>488</v>
      </c>
      <c r="L175" s="14">
        <v>46127.974039351851</v>
      </c>
    </row>
    <row r="176" spans="1:12" x14ac:dyDescent="0.35">
      <c r="A176" t="s">
        <v>882</v>
      </c>
      <c r="B176" t="s">
        <v>292</v>
      </c>
      <c r="C176" t="s">
        <v>342</v>
      </c>
      <c r="D176" s="6">
        <v>45932</v>
      </c>
      <c r="E176" t="s">
        <v>38</v>
      </c>
      <c r="F176" t="s">
        <v>454</v>
      </c>
      <c r="G176" s="12">
        <v>18605</v>
      </c>
      <c r="H176" s="12">
        <v>0</v>
      </c>
      <c r="I176" t="s">
        <v>446</v>
      </c>
      <c r="J176" t="s">
        <v>883</v>
      </c>
      <c r="K176" t="s">
        <v>456</v>
      </c>
      <c r="L176" s="14">
        <v>46127.974039351851</v>
      </c>
    </row>
    <row r="177" spans="1:12" x14ac:dyDescent="0.35">
      <c r="A177" t="s">
        <v>884</v>
      </c>
      <c r="B177" t="s">
        <v>394</v>
      </c>
      <c r="C177" t="s">
        <v>310</v>
      </c>
      <c r="D177" s="6">
        <v>45779</v>
      </c>
      <c r="E177" t="s">
        <v>37</v>
      </c>
      <c r="F177" t="s">
        <v>450</v>
      </c>
      <c r="G177" s="12">
        <v>3588</v>
      </c>
      <c r="H177" s="12">
        <v>0</v>
      </c>
      <c r="I177" t="s">
        <v>446</v>
      </c>
      <c r="J177" t="s">
        <v>885</v>
      </c>
      <c r="K177" t="s">
        <v>488</v>
      </c>
      <c r="L177" s="14">
        <v>46127.974039351851</v>
      </c>
    </row>
    <row r="178" spans="1:12" x14ac:dyDescent="0.35">
      <c r="A178" t="s">
        <v>886</v>
      </c>
      <c r="B178" t="s">
        <v>183</v>
      </c>
      <c r="C178" t="s">
        <v>887</v>
      </c>
      <c r="D178" s="6">
        <v>45884</v>
      </c>
      <c r="E178" t="s">
        <v>37</v>
      </c>
      <c r="F178" t="s">
        <v>454</v>
      </c>
      <c r="G178" s="12">
        <v>31861</v>
      </c>
      <c r="H178" s="12">
        <v>24280.051344132422</v>
      </c>
      <c r="I178" t="s">
        <v>435</v>
      </c>
      <c r="J178" t="s">
        <v>888</v>
      </c>
      <c r="K178" t="s">
        <v>452</v>
      </c>
      <c r="L178" s="14">
        <v>46127.974039351851</v>
      </c>
    </row>
    <row r="179" spans="1:12" x14ac:dyDescent="0.35">
      <c r="A179" t="s">
        <v>889</v>
      </c>
      <c r="B179" t="s">
        <v>401</v>
      </c>
      <c r="C179" t="s">
        <v>890</v>
      </c>
      <c r="D179" s="6">
        <v>46091</v>
      </c>
      <c r="E179" t="s">
        <v>38</v>
      </c>
      <c r="F179" t="s">
        <v>454</v>
      </c>
      <c r="G179" s="12">
        <v>31146</v>
      </c>
      <c r="H179" s="12">
        <v>29760.210944259165</v>
      </c>
      <c r="I179" t="s">
        <v>435</v>
      </c>
      <c r="J179" t="s">
        <v>891</v>
      </c>
      <c r="K179" t="s">
        <v>456</v>
      </c>
      <c r="L179" s="14">
        <v>46127.974039351851</v>
      </c>
    </row>
    <row r="180" spans="1:12" x14ac:dyDescent="0.35">
      <c r="A180" t="s">
        <v>892</v>
      </c>
      <c r="B180" t="s">
        <v>282</v>
      </c>
      <c r="C180" t="s">
        <v>786</v>
      </c>
      <c r="D180" s="6">
        <v>45965</v>
      </c>
      <c r="E180" t="s">
        <v>37</v>
      </c>
      <c r="F180" t="s">
        <v>434</v>
      </c>
      <c r="G180" s="12">
        <v>46020</v>
      </c>
      <c r="H180" s="12">
        <v>34242.61239695549</v>
      </c>
      <c r="I180" t="s">
        <v>435</v>
      </c>
      <c r="J180" t="s">
        <v>893</v>
      </c>
      <c r="K180" t="s">
        <v>437</v>
      </c>
      <c r="L180" s="14">
        <v>46127.974039351851</v>
      </c>
    </row>
    <row r="181" spans="1:12" x14ac:dyDescent="0.35">
      <c r="A181" t="s">
        <v>894</v>
      </c>
      <c r="B181" t="s">
        <v>306</v>
      </c>
      <c r="C181" t="s">
        <v>834</v>
      </c>
      <c r="D181" s="6">
        <v>46016</v>
      </c>
      <c r="E181" t="s">
        <v>34</v>
      </c>
      <c r="F181" t="s">
        <v>445</v>
      </c>
      <c r="G181" s="12">
        <v>25149</v>
      </c>
      <c r="H181" s="12">
        <v>0</v>
      </c>
      <c r="I181" t="s">
        <v>446</v>
      </c>
      <c r="J181" t="s">
        <v>895</v>
      </c>
      <c r="K181" t="s">
        <v>442</v>
      </c>
      <c r="L181" s="14">
        <v>46127.974039351851</v>
      </c>
    </row>
    <row r="182" spans="1:12" x14ac:dyDescent="0.35">
      <c r="A182" t="s">
        <v>896</v>
      </c>
      <c r="B182" t="s">
        <v>317</v>
      </c>
      <c r="C182" t="s">
        <v>340</v>
      </c>
      <c r="D182" s="6">
        <v>46063</v>
      </c>
      <c r="E182" t="s">
        <v>37</v>
      </c>
      <c r="F182" t="s">
        <v>454</v>
      </c>
      <c r="G182" s="12">
        <v>45543</v>
      </c>
      <c r="H182" s="12">
        <v>0</v>
      </c>
      <c r="I182" t="s">
        <v>446</v>
      </c>
      <c r="J182" t="s">
        <v>897</v>
      </c>
      <c r="K182" t="s">
        <v>437</v>
      </c>
      <c r="L182" s="14">
        <v>46127.974039351851</v>
      </c>
    </row>
    <row r="183" spans="1:12" x14ac:dyDescent="0.35">
      <c r="A183" t="s">
        <v>898</v>
      </c>
      <c r="B183" t="s">
        <v>259</v>
      </c>
      <c r="C183" t="s">
        <v>899</v>
      </c>
      <c r="D183" s="6">
        <v>45934</v>
      </c>
      <c r="E183" t="s">
        <v>38</v>
      </c>
      <c r="F183" t="s">
        <v>434</v>
      </c>
      <c r="G183" s="12">
        <v>9597</v>
      </c>
      <c r="H183" s="12">
        <v>7265.0381356537337</v>
      </c>
      <c r="I183" t="s">
        <v>435</v>
      </c>
      <c r="J183" t="s">
        <v>900</v>
      </c>
      <c r="K183" t="s">
        <v>442</v>
      </c>
      <c r="L183" s="14">
        <v>46127.974039351851</v>
      </c>
    </row>
    <row r="184" spans="1:12" x14ac:dyDescent="0.35">
      <c r="A184" t="s">
        <v>901</v>
      </c>
      <c r="B184" t="s">
        <v>399</v>
      </c>
      <c r="C184" t="s">
        <v>902</v>
      </c>
      <c r="D184" s="6">
        <v>45846</v>
      </c>
      <c r="E184" t="s">
        <v>38</v>
      </c>
      <c r="F184" t="s">
        <v>434</v>
      </c>
      <c r="G184" s="12">
        <v>15122</v>
      </c>
      <c r="H184" s="12">
        <v>11358.74987244606</v>
      </c>
      <c r="I184" t="s">
        <v>435</v>
      </c>
      <c r="J184" t="s">
        <v>903</v>
      </c>
      <c r="K184" t="s">
        <v>437</v>
      </c>
      <c r="L184" s="14">
        <v>46127.974039351851</v>
      </c>
    </row>
    <row r="185" spans="1:12" x14ac:dyDescent="0.35">
      <c r="A185" t="s">
        <v>904</v>
      </c>
      <c r="B185" t="s">
        <v>269</v>
      </c>
      <c r="C185" t="s">
        <v>608</v>
      </c>
      <c r="D185" s="6">
        <v>46017</v>
      </c>
      <c r="E185" t="s">
        <v>35</v>
      </c>
      <c r="F185" t="s">
        <v>454</v>
      </c>
      <c r="G185" s="12">
        <v>29874</v>
      </c>
      <c r="H185" s="12">
        <v>25443.161285054681</v>
      </c>
      <c r="I185" t="s">
        <v>435</v>
      </c>
      <c r="J185" t="s">
        <v>905</v>
      </c>
      <c r="K185" t="s">
        <v>452</v>
      </c>
      <c r="L185" s="14">
        <v>46127.974039351851</v>
      </c>
    </row>
    <row r="186" spans="1:12" x14ac:dyDescent="0.35">
      <c r="A186" t="s">
        <v>906</v>
      </c>
      <c r="B186" t="s">
        <v>414</v>
      </c>
      <c r="C186" t="s">
        <v>486</v>
      </c>
      <c r="D186" s="6">
        <v>45812</v>
      </c>
      <c r="E186" t="s">
        <v>39</v>
      </c>
      <c r="F186" t="s">
        <v>434</v>
      </c>
      <c r="G186" s="12">
        <v>1772</v>
      </c>
      <c r="H186" s="12">
        <v>1557.3508776187896</v>
      </c>
      <c r="I186" t="s">
        <v>435</v>
      </c>
      <c r="J186" t="s">
        <v>907</v>
      </c>
      <c r="K186" t="s">
        <v>468</v>
      </c>
      <c r="L186" s="14">
        <v>46127.974039351851</v>
      </c>
    </row>
    <row r="187" spans="1:12" x14ac:dyDescent="0.35">
      <c r="A187" t="s">
        <v>908</v>
      </c>
      <c r="B187" t="s">
        <v>329</v>
      </c>
      <c r="C187" t="s">
        <v>268</v>
      </c>
      <c r="D187" s="6">
        <v>45986</v>
      </c>
      <c r="E187" t="s">
        <v>34</v>
      </c>
      <c r="F187" t="s">
        <v>454</v>
      </c>
      <c r="G187" s="12">
        <v>14452</v>
      </c>
      <c r="H187" s="12">
        <v>11737.341792893409</v>
      </c>
      <c r="I187" t="s">
        <v>435</v>
      </c>
      <c r="J187" t="s">
        <v>909</v>
      </c>
      <c r="K187" t="s">
        <v>452</v>
      </c>
      <c r="L187" s="14">
        <v>46127.974039351851</v>
      </c>
    </row>
    <row r="188" spans="1:12" x14ac:dyDescent="0.35">
      <c r="A188" t="s">
        <v>910</v>
      </c>
      <c r="B188" t="s">
        <v>420</v>
      </c>
      <c r="C188" t="s">
        <v>268</v>
      </c>
      <c r="D188" s="6">
        <v>45806</v>
      </c>
      <c r="E188" t="s">
        <v>39</v>
      </c>
      <c r="F188" t="s">
        <v>445</v>
      </c>
      <c r="G188" s="12">
        <v>6313</v>
      </c>
      <c r="H188" s="12">
        <v>4674.8320214748383</v>
      </c>
      <c r="I188" t="s">
        <v>435</v>
      </c>
      <c r="J188" t="s">
        <v>911</v>
      </c>
      <c r="K188" t="s">
        <v>456</v>
      </c>
      <c r="L188" s="14">
        <v>46127.974039351851</v>
      </c>
    </row>
    <row r="189" spans="1:12" x14ac:dyDescent="0.35">
      <c r="A189" t="s">
        <v>912</v>
      </c>
      <c r="B189" t="s">
        <v>219</v>
      </c>
      <c r="C189" t="s">
        <v>473</v>
      </c>
      <c r="D189" s="6">
        <v>45777</v>
      </c>
      <c r="E189" t="s">
        <v>38</v>
      </c>
      <c r="F189" t="s">
        <v>434</v>
      </c>
      <c r="G189" s="12">
        <v>20421</v>
      </c>
      <c r="H189" s="12">
        <v>17697.616277951001</v>
      </c>
      <c r="I189" t="s">
        <v>435</v>
      </c>
      <c r="J189" t="s">
        <v>913</v>
      </c>
      <c r="K189" t="s">
        <v>456</v>
      </c>
      <c r="L189" s="14">
        <v>46127.974039351851</v>
      </c>
    </row>
    <row r="190" spans="1:12" x14ac:dyDescent="0.35">
      <c r="A190" t="s">
        <v>914</v>
      </c>
      <c r="B190" t="s">
        <v>264</v>
      </c>
      <c r="C190" t="s">
        <v>862</v>
      </c>
      <c r="D190" s="6">
        <v>45887</v>
      </c>
      <c r="E190" t="s">
        <v>39</v>
      </c>
      <c r="F190" t="s">
        <v>450</v>
      </c>
      <c r="G190" s="12">
        <v>27478</v>
      </c>
      <c r="H190" s="12">
        <v>27319.192405581474</v>
      </c>
      <c r="I190" t="s">
        <v>435</v>
      </c>
      <c r="J190" t="s">
        <v>915</v>
      </c>
      <c r="K190" t="s">
        <v>442</v>
      </c>
      <c r="L190" s="14">
        <v>46127.974039351851</v>
      </c>
    </row>
    <row r="191" spans="1:12" x14ac:dyDescent="0.35">
      <c r="A191" t="s">
        <v>916</v>
      </c>
      <c r="B191" t="s">
        <v>226</v>
      </c>
      <c r="C191" t="s">
        <v>340</v>
      </c>
      <c r="D191" s="6">
        <v>45775</v>
      </c>
      <c r="E191" t="s">
        <v>38</v>
      </c>
      <c r="F191" t="s">
        <v>454</v>
      </c>
      <c r="G191" s="12">
        <v>7853</v>
      </c>
      <c r="H191" s="12">
        <v>0</v>
      </c>
      <c r="I191" t="s">
        <v>446</v>
      </c>
      <c r="J191" t="s">
        <v>917</v>
      </c>
      <c r="K191" t="s">
        <v>442</v>
      </c>
      <c r="L191" s="14">
        <v>46127.974039351851</v>
      </c>
    </row>
    <row r="192" spans="1:12" x14ac:dyDescent="0.35">
      <c r="A192" t="s">
        <v>918</v>
      </c>
      <c r="B192" t="s">
        <v>407</v>
      </c>
      <c r="C192" t="s">
        <v>180</v>
      </c>
      <c r="D192" s="6">
        <v>45946</v>
      </c>
      <c r="E192" t="s">
        <v>38</v>
      </c>
      <c r="F192" t="s">
        <v>434</v>
      </c>
      <c r="G192" s="12">
        <v>33895</v>
      </c>
      <c r="H192" s="12">
        <v>29926.074687629938</v>
      </c>
      <c r="I192" t="s">
        <v>435</v>
      </c>
      <c r="J192" t="s">
        <v>919</v>
      </c>
      <c r="K192" t="s">
        <v>468</v>
      </c>
      <c r="L192" s="14">
        <v>46127.974039351851</v>
      </c>
    </row>
    <row r="193" spans="1:12" x14ac:dyDescent="0.35">
      <c r="A193" t="s">
        <v>920</v>
      </c>
      <c r="B193" t="s">
        <v>282</v>
      </c>
      <c r="C193" t="s">
        <v>921</v>
      </c>
      <c r="D193" s="6">
        <v>45906</v>
      </c>
      <c r="E193" t="s">
        <v>36</v>
      </c>
      <c r="F193" t="s">
        <v>445</v>
      </c>
      <c r="G193" s="12">
        <v>41528</v>
      </c>
      <c r="H193" s="12">
        <v>37219.872873592372</v>
      </c>
      <c r="I193" t="s">
        <v>435</v>
      </c>
      <c r="J193" t="s">
        <v>922</v>
      </c>
      <c r="K193" t="s">
        <v>452</v>
      </c>
      <c r="L193" s="14">
        <v>46127.974039351851</v>
      </c>
    </row>
    <row r="194" spans="1:12" x14ac:dyDescent="0.35">
      <c r="A194" t="s">
        <v>923</v>
      </c>
      <c r="B194" t="s">
        <v>336</v>
      </c>
      <c r="C194" t="s">
        <v>924</v>
      </c>
      <c r="D194" s="6">
        <v>46123</v>
      </c>
      <c r="E194" t="s">
        <v>34</v>
      </c>
      <c r="F194" t="s">
        <v>445</v>
      </c>
      <c r="G194" s="12">
        <v>11499</v>
      </c>
      <c r="H194" s="12">
        <v>9262.7256567656987</v>
      </c>
      <c r="I194" t="s">
        <v>435</v>
      </c>
      <c r="J194" t="s">
        <v>925</v>
      </c>
      <c r="K194" t="s">
        <v>437</v>
      </c>
      <c r="L194" s="14">
        <v>46127.974039351851</v>
      </c>
    </row>
    <row r="195" spans="1:12" x14ac:dyDescent="0.35">
      <c r="A195" t="s">
        <v>926</v>
      </c>
      <c r="B195" t="s">
        <v>211</v>
      </c>
      <c r="C195" t="s">
        <v>927</v>
      </c>
      <c r="D195" s="6">
        <v>45928</v>
      </c>
      <c r="E195" t="s">
        <v>35</v>
      </c>
      <c r="F195" t="s">
        <v>454</v>
      </c>
      <c r="G195" s="12">
        <v>32884</v>
      </c>
      <c r="H195" s="12">
        <v>0</v>
      </c>
      <c r="I195" t="s">
        <v>446</v>
      </c>
      <c r="J195" t="s">
        <v>928</v>
      </c>
      <c r="K195" t="s">
        <v>437</v>
      </c>
      <c r="L195" s="14">
        <v>46127.974039351851</v>
      </c>
    </row>
    <row r="196" spans="1:12" x14ac:dyDescent="0.35">
      <c r="A196" t="s">
        <v>929</v>
      </c>
      <c r="B196" t="s">
        <v>306</v>
      </c>
      <c r="C196" t="s">
        <v>930</v>
      </c>
      <c r="D196" s="6">
        <v>46029</v>
      </c>
      <c r="E196" t="s">
        <v>39</v>
      </c>
      <c r="F196" t="s">
        <v>434</v>
      </c>
      <c r="G196" s="12">
        <v>27709</v>
      </c>
      <c r="H196" s="12">
        <v>0</v>
      </c>
      <c r="I196" t="s">
        <v>446</v>
      </c>
      <c r="J196" t="s">
        <v>931</v>
      </c>
      <c r="K196" t="s">
        <v>452</v>
      </c>
      <c r="L196" s="14">
        <v>46127.974039351851</v>
      </c>
    </row>
    <row r="197" spans="1:12" x14ac:dyDescent="0.35">
      <c r="A197" t="s">
        <v>932</v>
      </c>
      <c r="B197" t="s">
        <v>336</v>
      </c>
      <c r="C197" t="s">
        <v>933</v>
      </c>
      <c r="D197" s="6">
        <v>45882</v>
      </c>
      <c r="E197" t="s">
        <v>34</v>
      </c>
      <c r="F197" t="s">
        <v>445</v>
      </c>
      <c r="G197" s="12">
        <v>21514</v>
      </c>
      <c r="H197" s="12">
        <v>16018.697808361052</v>
      </c>
      <c r="I197" t="s">
        <v>435</v>
      </c>
      <c r="J197" t="s">
        <v>934</v>
      </c>
      <c r="K197" t="s">
        <v>488</v>
      </c>
      <c r="L197" s="14">
        <v>46127.974039351851</v>
      </c>
    </row>
    <row r="198" spans="1:12" x14ac:dyDescent="0.35">
      <c r="A198" t="s">
        <v>935</v>
      </c>
      <c r="B198" t="s">
        <v>317</v>
      </c>
      <c r="C198" t="s">
        <v>936</v>
      </c>
      <c r="D198" s="6">
        <v>45989</v>
      </c>
      <c r="E198" t="s">
        <v>35</v>
      </c>
      <c r="F198" t="s">
        <v>450</v>
      </c>
      <c r="G198" s="12">
        <v>29434</v>
      </c>
      <c r="H198" s="12">
        <v>25589.047152173516</v>
      </c>
      <c r="I198" t="s">
        <v>435</v>
      </c>
      <c r="J198" t="s">
        <v>937</v>
      </c>
      <c r="K198" t="s">
        <v>442</v>
      </c>
      <c r="L198" s="14">
        <v>46127.974039351851</v>
      </c>
    </row>
    <row r="199" spans="1:12" x14ac:dyDescent="0.35">
      <c r="A199" t="s">
        <v>938</v>
      </c>
      <c r="B199" t="s">
        <v>403</v>
      </c>
      <c r="C199" t="s">
        <v>378</v>
      </c>
      <c r="D199" s="6">
        <v>46108</v>
      </c>
      <c r="E199" t="s">
        <v>36</v>
      </c>
      <c r="F199" t="s">
        <v>445</v>
      </c>
      <c r="G199" s="12">
        <v>37584</v>
      </c>
      <c r="H199" s="12">
        <v>0</v>
      </c>
      <c r="I199" t="s">
        <v>446</v>
      </c>
      <c r="J199" t="s">
        <v>939</v>
      </c>
      <c r="K199" t="s">
        <v>452</v>
      </c>
      <c r="L199" s="14">
        <v>46127.974039351851</v>
      </c>
    </row>
    <row r="200" spans="1:12" x14ac:dyDescent="0.35">
      <c r="A200" t="s">
        <v>940</v>
      </c>
      <c r="B200" t="s">
        <v>242</v>
      </c>
      <c r="C200" t="s">
        <v>291</v>
      </c>
      <c r="D200" s="6">
        <v>45826</v>
      </c>
      <c r="E200" t="s">
        <v>36</v>
      </c>
      <c r="F200" t="s">
        <v>450</v>
      </c>
      <c r="G200" s="12">
        <v>37184</v>
      </c>
      <c r="H200" s="12">
        <v>30436.305929565428</v>
      </c>
      <c r="I200" t="s">
        <v>435</v>
      </c>
      <c r="J200" t="s">
        <v>941</v>
      </c>
      <c r="K200" t="s">
        <v>488</v>
      </c>
      <c r="L200" s="14">
        <v>46127.974039351851</v>
      </c>
    </row>
    <row r="201" spans="1:12" x14ac:dyDescent="0.35">
      <c r="A201" t="s">
        <v>942</v>
      </c>
      <c r="B201" t="s">
        <v>339</v>
      </c>
      <c r="C201" t="s">
        <v>268</v>
      </c>
      <c r="D201" s="6">
        <v>46021</v>
      </c>
      <c r="E201" t="s">
        <v>39</v>
      </c>
      <c r="F201" t="s">
        <v>445</v>
      </c>
      <c r="G201" s="12">
        <v>2124</v>
      </c>
      <c r="H201" s="12">
        <v>0</v>
      </c>
      <c r="I201" t="s">
        <v>446</v>
      </c>
      <c r="J201" t="s">
        <v>943</v>
      </c>
      <c r="K201" t="s">
        <v>468</v>
      </c>
      <c r="L201" s="14">
        <v>46127.974039351851</v>
      </c>
    </row>
  </sheetData>
  <dataValidations count="2">
    <dataValidation type="list" allowBlank="1" showInputMessage="1" showErrorMessage="1" sqref="E2:E500" xr:uid="{C9B8F59D-111B-42E8-B4AD-7FD935F5FA19}">
      <formula1>List_ExpCategories</formula1>
    </dataValidation>
    <dataValidation type="list" allowBlank="1" showInputMessage="1" showErrorMessage="1" sqref="I2:I500" xr:uid="{3FA94AC8-03FB-4A5D-9A44-48DF644DC262}">
      <formula1>"Open,Closed,Partially Paid"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C8BF-2FC4-4DDC-9639-E90FF90F833C}">
  <sheetPr codeName="Sheet7"/>
  <dimension ref="A1:G2"/>
  <sheetViews>
    <sheetView workbookViewId="0"/>
  </sheetViews>
  <sheetFormatPr defaultRowHeight="14.5" x14ac:dyDescent="0.35"/>
  <cols>
    <col min="1" max="1" width="15.08984375" bestFit="1" customWidth="1"/>
    <col min="2" max="2" width="8.26953125" bestFit="1" customWidth="1"/>
    <col min="3" max="3" width="15.7265625" bestFit="1" customWidth="1"/>
    <col min="4" max="4" width="13.36328125" bestFit="1" customWidth="1"/>
    <col min="5" max="5" width="9.36328125" bestFit="1" customWidth="1"/>
    <col min="6" max="6" width="10.26953125" bestFit="1" customWidth="1"/>
    <col min="7" max="7" width="10" bestFit="1" customWidth="1"/>
  </cols>
  <sheetData>
    <row r="1" spans="1:7" x14ac:dyDescent="0.35">
      <c r="A1" s="24" t="s">
        <v>944</v>
      </c>
      <c r="B1" s="24" t="s">
        <v>945</v>
      </c>
      <c r="C1" s="24" t="s">
        <v>946</v>
      </c>
      <c r="D1" s="24" t="s">
        <v>947</v>
      </c>
      <c r="E1" s="24" t="s">
        <v>948</v>
      </c>
      <c r="F1" s="24" t="s">
        <v>949</v>
      </c>
      <c r="G1" s="24" t="s">
        <v>950</v>
      </c>
    </row>
    <row r="2" spans="1:7" x14ac:dyDescent="0.35">
      <c r="A2" s="4">
        <v>46127.974039351851</v>
      </c>
      <c r="B2" t="s">
        <v>951</v>
      </c>
      <c r="C2" t="s">
        <v>952</v>
      </c>
      <c r="D2" t="s">
        <v>953</v>
      </c>
      <c r="E2" t="s">
        <v>954</v>
      </c>
      <c r="F2" t="s">
        <v>955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1691-6F8D-46D6-BF61-9BBD8399F14F}">
  <sheetPr codeName="Sheet8"/>
  <dimension ref="A1:B9"/>
  <sheetViews>
    <sheetView tabSelected="1" workbookViewId="0"/>
  </sheetViews>
  <sheetFormatPr defaultRowHeight="14.5" x14ac:dyDescent="0.35"/>
  <cols>
    <col min="1" max="1" width="40.54296875" bestFit="1" customWidth="1"/>
    <col min="2" max="2" width="23.26953125" bestFit="1" customWidth="1"/>
  </cols>
  <sheetData>
    <row r="1" spans="1:2" ht="21" x14ac:dyDescent="0.5">
      <c r="A1" s="25" t="s">
        <v>1005</v>
      </c>
    </row>
    <row r="3" spans="1:2" x14ac:dyDescent="0.35">
      <c r="A3" t="s">
        <v>956</v>
      </c>
      <c r="B3" s="12">
        <f>SUM(Revenue_Table[Amount_USD])</f>
        <v>160699151.96499997</v>
      </c>
    </row>
    <row r="4" spans="1:2" x14ac:dyDescent="0.35">
      <c r="A4" t="s">
        <v>957</v>
      </c>
      <c r="B4" s="12">
        <f>SUM(Allocation_Table[Amount_Allocated_USD])</f>
        <v>32386456</v>
      </c>
    </row>
    <row r="5" spans="1:2" x14ac:dyDescent="0.35">
      <c r="A5" t="s">
        <v>958</v>
      </c>
      <c r="B5" s="12">
        <f>SUM(Expenditure_Table[Disbursed_Amount_USD])</f>
        <v>2962266.5713810748</v>
      </c>
    </row>
    <row r="6" spans="1:2" x14ac:dyDescent="0.35">
      <c r="A6" t="s">
        <v>959</v>
      </c>
      <c r="B6" s="12">
        <f>SUM(Expenditure_Table[Commitment_Amount_USD]) - SUM(Expenditure_Table[Disbursed_Amount_USD])</f>
        <v>2126700.4286189252</v>
      </c>
    </row>
    <row r="8" spans="1:2" ht="23.5" x14ac:dyDescent="0.55000000000000004">
      <c r="A8" t="s">
        <v>960</v>
      </c>
      <c r="B8" s="26">
        <f>B3 - (B4 + B5)</f>
        <v>125350429.3936189</v>
      </c>
    </row>
    <row r="9" spans="1:2" x14ac:dyDescent="0.35">
      <c r="A9" t="s">
        <v>961</v>
      </c>
      <c r="B9" s="27">
        <f>B8/B3</f>
        <v>0.7800316794510529</v>
      </c>
    </row>
  </sheetData>
  <conditionalFormatting sqref="B8">
    <cfRule type="cellIs" dxfId="18" priority="1" stopIfTrue="1" operator="greaterThan">
      <formula>B3*0.15</formula>
    </cfRule>
    <cfRule type="cellIs" dxfId="17" priority="2" stopIfTrue="1" operator="between">
      <formula>B3*0.05</formula>
      <formula>B3*0.15</formula>
    </cfRule>
    <cfRule type="cellIs" dxfId="16" priority="3" stopIfTrue="1" operator="lessThan">
      <formula>B3*0.05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7A79F-A73D-46DB-B9AB-69F66C08A253}">
  <sheetPr codeName="Sheet9"/>
  <dimension ref="A1:F6"/>
  <sheetViews>
    <sheetView workbookViewId="0"/>
  </sheetViews>
  <sheetFormatPr defaultRowHeight="14.5" x14ac:dyDescent="0.35"/>
  <cols>
    <col min="1" max="1" width="16.81640625" bestFit="1" customWidth="1"/>
    <col min="2" max="2" width="18.36328125" bestFit="1" customWidth="1"/>
    <col min="3" max="3" width="22.1796875" bestFit="1" customWidth="1"/>
    <col min="4" max="4" width="17.453125" bestFit="1" customWidth="1"/>
    <col min="5" max="5" width="24.08984375" bestFit="1" customWidth="1"/>
    <col min="6" max="6" width="10.54296875" bestFit="1" customWidth="1"/>
  </cols>
  <sheetData>
    <row r="1" spans="1:6" ht="18.5" x14ac:dyDescent="0.45">
      <c r="A1" s="31" t="s">
        <v>966</v>
      </c>
    </row>
    <row r="3" spans="1:6" x14ac:dyDescent="0.35">
      <c r="A3" s="28" t="s">
        <v>965</v>
      </c>
      <c r="B3" s="28" t="s">
        <v>964</v>
      </c>
    </row>
    <row r="4" spans="1:6" x14ac:dyDescent="0.35">
      <c r="A4" s="28" t="s">
        <v>962</v>
      </c>
      <c r="B4" t="s">
        <v>15</v>
      </c>
      <c r="C4" t="s">
        <v>16</v>
      </c>
      <c r="D4" t="s">
        <v>10</v>
      </c>
      <c r="E4" t="s">
        <v>14</v>
      </c>
      <c r="F4" t="s">
        <v>963</v>
      </c>
    </row>
    <row r="5" spans="1:6" x14ac:dyDescent="0.35">
      <c r="A5" s="29" t="s">
        <v>10</v>
      </c>
      <c r="B5" s="30">
        <v>3880544.92</v>
      </c>
      <c r="C5" s="30">
        <v>7985233.834999999</v>
      </c>
      <c r="D5" s="30">
        <v>7722609.3500000006</v>
      </c>
      <c r="E5" s="30">
        <v>5626518.5999999996</v>
      </c>
      <c r="F5" s="30">
        <v>25214906.704999998</v>
      </c>
    </row>
    <row r="6" spans="1:6" x14ac:dyDescent="0.35">
      <c r="A6" s="29" t="s">
        <v>963</v>
      </c>
      <c r="B6" s="30">
        <v>3880544.92</v>
      </c>
      <c r="C6" s="30">
        <v>7985233.834999999</v>
      </c>
      <c r="D6" s="30">
        <v>7722609.3500000006</v>
      </c>
      <c r="E6" s="30">
        <v>5626518.5999999996</v>
      </c>
      <c r="F6" s="30">
        <v>25214906.704999998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F6438-5EA4-4976-93A7-F815B4924A76}">
  <sheetPr codeName="Sheet14"/>
  <dimension ref="A1:I23"/>
  <sheetViews>
    <sheetView workbookViewId="0">
      <selection activeCell="C4" sqref="C4"/>
    </sheetView>
  </sheetViews>
  <sheetFormatPr defaultRowHeight="14.5" x14ac:dyDescent="0.35"/>
  <cols>
    <col min="1" max="2" width="14.1796875" bestFit="1" customWidth="1"/>
    <col min="3" max="3" width="36" bestFit="1" customWidth="1"/>
    <col min="4" max="4" width="23.8164062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997</v>
      </c>
    </row>
    <row r="3" spans="1:9" x14ac:dyDescent="0.35">
      <c r="A3" t="s">
        <v>171</v>
      </c>
      <c r="B3" t="s">
        <v>172</v>
      </c>
      <c r="C3" t="s">
        <v>173</v>
      </c>
      <c r="D3" t="s">
        <v>174</v>
      </c>
      <c r="E3" t="s">
        <v>175</v>
      </c>
      <c r="F3" t="s">
        <v>176</v>
      </c>
      <c r="G3" t="s">
        <v>177</v>
      </c>
      <c r="H3" t="s">
        <v>178</v>
      </c>
      <c r="I3" t="s">
        <v>56</v>
      </c>
    </row>
    <row r="4" spans="1:9" x14ac:dyDescent="0.35">
      <c r="A4" t="s">
        <v>179</v>
      </c>
      <c r="B4" t="s">
        <v>180</v>
      </c>
      <c r="C4" t="s">
        <v>181</v>
      </c>
      <c r="D4" t="s">
        <v>26</v>
      </c>
      <c r="E4" t="s">
        <v>127</v>
      </c>
      <c r="F4">
        <v>104705</v>
      </c>
      <c r="G4" s="3">
        <v>46054</v>
      </c>
      <c r="H4" t="s">
        <v>182</v>
      </c>
      <c r="I4" s="4">
        <v>46127.974039351851</v>
      </c>
    </row>
    <row r="5" spans="1:9" x14ac:dyDescent="0.35">
      <c r="A5" t="s">
        <v>412</v>
      </c>
      <c r="B5" t="s">
        <v>413</v>
      </c>
      <c r="C5" t="s">
        <v>187</v>
      </c>
      <c r="D5" t="s">
        <v>26</v>
      </c>
      <c r="E5" t="s">
        <v>93</v>
      </c>
      <c r="F5">
        <v>190217</v>
      </c>
      <c r="G5" s="3">
        <v>45501</v>
      </c>
      <c r="H5" t="s">
        <v>182</v>
      </c>
      <c r="I5" s="4">
        <v>46127.974039351851</v>
      </c>
    </row>
    <row r="6" spans="1:9" x14ac:dyDescent="0.35">
      <c r="A6" t="s">
        <v>185</v>
      </c>
      <c r="B6" t="s">
        <v>186</v>
      </c>
      <c r="C6" t="s">
        <v>187</v>
      </c>
      <c r="D6" t="s">
        <v>26</v>
      </c>
      <c r="E6" t="s">
        <v>148</v>
      </c>
      <c r="F6">
        <v>248220</v>
      </c>
      <c r="G6" s="3">
        <v>45818</v>
      </c>
      <c r="H6" t="s">
        <v>188</v>
      </c>
      <c r="I6" s="4">
        <v>46127.974039351851</v>
      </c>
    </row>
    <row r="7" spans="1:9" x14ac:dyDescent="0.35">
      <c r="A7" t="s">
        <v>407</v>
      </c>
      <c r="B7" t="s">
        <v>270</v>
      </c>
      <c r="C7" t="s">
        <v>240</v>
      </c>
      <c r="D7" t="s">
        <v>26</v>
      </c>
      <c r="E7" t="s">
        <v>140</v>
      </c>
      <c r="F7">
        <v>412243</v>
      </c>
      <c r="G7" s="3">
        <v>45609</v>
      </c>
      <c r="H7" t="s">
        <v>195</v>
      </c>
      <c r="I7" s="4">
        <v>46127.974039351851</v>
      </c>
    </row>
    <row r="8" spans="1:9" x14ac:dyDescent="0.35">
      <c r="A8" t="s">
        <v>406</v>
      </c>
      <c r="B8" t="s">
        <v>203</v>
      </c>
      <c r="C8" t="s">
        <v>225</v>
      </c>
      <c r="D8" t="s">
        <v>26</v>
      </c>
      <c r="E8" t="s">
        <v>125</v>
      </c>
      <c r="F8">
        <v>228657</v>
      </c>
      <c r="G8" s="3">
        <v>45529</v>
      </c>
      <c r="H8" t="s">
        <v>188</v>
      </c>
      <c r="I8" s="4">
        <v>46127.974039351851</v>
      </c>
    </row>
    <row r="9" spans="1:9" x14ac:dyDescent="0.35">
      <c r="A9" t="s">
        <v>387</v>
      </c>
      <c r="B9" t="s">
        <v>388</v>
      </c>
      <c r="C9" t="s">
        <v>389</v>
      </c>
      <c r="D9" t="s">
        <v>26</v>
      </c>
      <c r="E9" t="s">
        <v>127</v>
      </c>
      <c r="F9">
        <v>55791</v>
      </c>
      <c r="G9" s="3">
        <v>45952</v>
      </c>
      <c r="H9" t="s">
        <v>188</v>
      </c>
      <c r="I9" s="4">
        <v>46127.974039351851</v>
      </c>
    </row>
    <row r="10" spans="1:9" x14ac:dyDescent="0.35">
      <c r="A10" t="s">
        <v>363</v>
      </c>
      <c r="B10" t="s">
        <v>364</v>
      </c>
      <c r="C10" t="s">
        <v>194</v>
      </c>
      <c r="D10" t="s">
        <v>26</v>
      </c>
      <c r="E10" t="s">
        <v>85</v>
      </c>
      <c r="F10">
        <v>144773</v>
      </c>
      <c r="G10" s="3">
        <v>45872</v>
      </c>
      <c r="H10" t="s">
        <v>195</v>
      </c>
      <c r="I10" s="4">
        <v>46127.974039351851</v>
      </c>
    </row>
    <row r="11" spans="1:9" x14ac:dyDescent="0.35">
      <c r="A11" t="s">
        <v>202</v>
      </c>
      <c r="B11" t="s">
        <v>203</v>
      </c>
      <c r="C11" t="s">
        <v>204</v>
      </c>
      <c r="D11" t="s">
        <v>26</v>
      </c>
      <c r="E11" t="s">
        <v>158</v>
      </c>
      <c r="F11">
        <v>114374</v>
      </c>
      <c r="G11" s="3">
        <v>45654</v>
      </c>
      <c r="H11" t="s">
        <v>182</v>
      </c>
      <c r="I11" s="4">
        <v>46127.974039351851</v>
      </c>
    </row>
    <row r="12" spans="1:9" x14ac:dyDescent="0.35">
      <c r="A12" t="s">
        <v>327</v>
      </c>
      <c r="B12" t="s">
        <v>328</v>
      </c>
      <c r="C12" t="s">
        <v>233</v>
      </c>
      <c r="D12" t="s">
        <v>26</v>
      </c>
      <c r="E12" t="s">
        <v>165</v>
      </c>
      <c r="F12">
        <v>442654</v>
      </c>
      <c r="G12" s="3">
        <v>45422</v>
      </c>
      <c r="H12" t="s">
        <v>195</v>
      </c>
      <c r="I12" s="4">
        <v>46127.974039351851</v>
      </c>
    </row>
    <row r="13" spans="1:9" x14ac:dyDescent="0.35">
      <c r="A13" t="s">
        <v>315</v>
      </c>
      <c r="B13" t="s">
        <v>316</v>
      </c>
      <c r="C13" t="s">
        <v>266</v>
      </c>
      <c r="D13" t="s">
        <v>26</v>
      </c>
      <c r="E13" t="s">
        <v>75</v>
      </c>
      <c r="F13">
        <v>381173</v>
      </c>
      <c r="G13" s="3">
        <v>46036</v>
      </c>
      <c r="H13" t="s">
        <v>195</v>
      </c>
      <c r="I13" s="4">
        <v>46127.974039351851</v>
      </c>
    </row>
    <row r="14" spans="1:9" x14ac:dyDescent="0.35">
      <c r="A14" t="s">
        <v>313</v>
      </c>
      <c r="B14" t="s">
        <v>314</v>
      </c>
      <c r="C14" t="s">
        <v>240</v>
      </c>
      <c r="D14" t="s">
        <v>26</v>
      </c>
      <c r="E14" t="s">
        <v>114</v>
      </c>
      <c r="F14">
        <v>87740</v>
      </c>
      <c r="G14" s="3">
        <v>45816</v>
      </c>
      <c r="H14" t="s">
        <v>195</v>
      </c>
      <c r="I14" s="4">
        <v>46127.974039351851</v>
      </c>
    </row>
    <row r="15" spans="1:9" x14ac:dyDescent="0.35">
      <c r="A15" t="s">
        <v>213</v>
      </c>
      <c r="B15" t="s">
        <v>214</v>
      </c>
      <c r="C15" t="s">
        <v>198</v>
      </c>
      <c r="D15" t="s">
        <v>26</v>
      </c>
      <c r="E15" t="s">
        <v>72</v>
      </c>
      <c r="F15">
        <v>456824</v>
      </c>
      <c r="G15" s="3">
        <v>45789</v>
      </c>
      <c r="H15" t="s">
        <v>182</v>
      </c>
      <c r="I15" s="4">
        <v>46127.974039351851</v>
      </c>
    </row>
    <row r="16" spans="1:9" x14ac:dyDescent="0.35">
      <c r="A16" t="s">
        <v>305</v>
      </c>
      <c r="B16" t="s">
        <v>238</v>
      </c>
      <c r="C16" t="s">
        <v>279</v>
      </c>
      <c r="D16" t="s">
        <v>26</v>
      </c>
      <c r="E16" t="s">
        <v>91</v>
      </c>
      <c r="F16">
        <v>73629</v>
      </c>
      <c r="G16" s="3">
        <v>45526</v>
      </c>
      <c r="H16" t="s">
        <v>188</v>
      </c>
      <c r="I16" s="4">
        <v>46127.974039351851</v>
      </c>
    </row>
    <row r="17" spans="1:9" x14ac:dyDescent="0.35">
      <c r="A17" t="s">
        <v>292</v>
      </c>
      <c r="B17" t="s">
        <v>293</v>
      </c>
      <c r="C17" t="s">
        <v>207</v>
      </c>
      <c r="D17" t="s">
        <v>26</v>
      </c>
      <c r="E17" t="s">
        <v>136</v>
      </c>
      <c r="F17">
        <v>475100</v>
      </c>
      <c r="G17" s="3">
        <v>45887</v>
      </c>
      <c r="H17" t="s">
        <v>188</v>
      </c>
      <c r="I17" s="4">
        <v>46127.974039351851</v>
      </c>
    </row>
    <row r="18" spans="1:9" x14ac:dyDescent="0.35">
      <c r="A18" t="s">
        <v>290</v>
      </c>
      <c r="B18" t="s">
        <v>291</v>
      </c>
      <c r="C18" t="s">
        <v>266</v>
      </c>
      <c r="D18" t="s">
        <v>26</v>
      </c>
      <c r="E18" t="s">
        <v>57</v>
      </c>
      <c r="F18">
        <v>298701</v>
      </c>
      <c r="G18" s="3">
        <v>45678</v>
      </c>
      <c r="H18" t="s">
        <v>195</v>
      </c>
      <c r="I18" s="4">
        <v>46127.974039351851</v>
      </c>
    </row>
    <row r="19" spans="1:9" x14ac:dyDescent="0.35">
      <c r="A19" t="s">
        <v>277</v>
      </c>
      <c r="B19" t="s">
        <v>278</v>
      </c>
      <c r="C19" t="s">
        <v>279</v>
      </c>
      <c r="D19" t="s">
        <v>26</v>
      </c>
      <c r="E19" t="s">
        <v>104</v>
      </c>
      <c r="F19">
        <v>75614</v>
      </c>
      <c r="G19" s="3">
        <v>45926</v>
      </c>
      <c r="H19" t="s">
        <v>188</v>
      </c>
      <c r="I19" s="4">
        <v>46127.974039351851</v>
      </c>
    </row>
    <row r="20" spans="1:9" x14ac:dyDescent="0.35">
      <c r="A20" t="s">
        <v>269</v>
      </c>
      <c r="B20" t="s">
        <v>270</v>
      </c>
      <c r="C20" t="s">
        <v>207</v>
      </c>
      <c r="D20" t="s">
        <v>26</v>
      </c>
      <c r="E20" t="s">
        <v>72</v>
      </c>
      <c r="F20">
        <v>168986</v>
      </c>
      <c r="G20" s="3">
        <v>45829</v>
      </c>
      <c r="H20" t="s">
        <v>182</v>
      </c>
      <c r="I20" s="4">
        <v>46127.974039351851</v>
      </c>
    </row>
    <row r="21" spans="1:9" x14ac:dyDescent="0.35">
      <c r="A21" t="s">
        <v>252</v>
      </c>
      <c r="B21" t="s">
        <v>253</v>
      </c>
      <c r="C21" t="s">
        <v>191</v>
      </c>
      <c r="D21" t="s">
        <v>26</v>
      </c>
      <c r="E21" t="s">
        <v>68</v>
      </c>
      <c r="F21">
        <v>437471</v>
      </c>
      <c r="G21" s="3">
        <v>45518</v>
      </c>
      <c r="H21" t="s">
        <v>195</v>
      </c>
      <c r="I21" s="4">
        <v>46127.974039351851</v>
      </c>
    </row>
    <row r="22" spans="1:9" x14ac:dyDescent="0.35">
      <c r="A22" t="s">
        <v>251</v>
      </c>
      <c r="B22" t="s">
        <v>180</v>
      </c>
      <c r="C22" t="s">
        <v>230</v>
      </c>
      <c r="D22" t="s">
        <v>26</v>
      </c>
      <c r="E22" t="s">
        <v>120</v>
      </c>
      <c r="F22">
        <v>232172</v>
      </c>
      <c r="G22" s="3">
        <v>46049</v>
      </c>
      <c r="H22" t="s">
        <v>188</v>
      </c>
      <c r="I22" s="4">
        <v>46127.974039351851</v>
      </c>
    </row>
    <row r="23" spans="1:9" x14ac:dyDescent="0.35">
      <c r="A23" t="s">
        <v>237</v>
      </c>
      <c r="B23" t="s">
        <v>238</v>
      </c>
      <c r="C23" t="s">
        <v>181</v>
      </c>
      <c r="D23" t="s">
        <v>26</v>
      </c>
      <c r="E23" t="s">
        <v>87</v>
      </c>
      <c r="F23">
        <v>364875</v>
      </c>
      <c r="G23" s="3">
        <v>45739</v>
      </c>
      <c r="H23" t="s">
        <v>195</v>
      </c>
      <c r="I23" s="4">
        <v>46127.974039351851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54F6B-9326-488A-94CF-FA4E64F187FD}">
  <sheetPr codeName="Sheet15"/>
  <dimension ref="A1:I17"/>
  <sheetViews>
    <sheetView workbookViewId="0">
      <selection activeCell="C5" sqref="C5"/>
    </sheetView>
  </sheetViews>
  <sheetFormatPr defaultRowHeight="14.5" x14ac:dyDescent="0.35"/>
  <cols>
    <col min="1" max="2" width="14.1796875" bestFit="1" customWidth="1"/>
    <col min="3" max="3" width="36" bestFit="1" customWidth="1"/>
    <col min="4" max="4" width="16.179687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998</v>
      </c>
    </row>
    <row r="3" spans="1:9" x14ac:dyDescent="0.35">
      <c r="A3" t="s">
        <v>171</v>
      </c>
      <c r="B3" t="s">
        <v>172</v>
      </c>
      <c r="C3" t="s">
        <v>173</v>
      </c>
      <c r="D3" t="s">
        <v>174</v>
      </c>
      <c r="E3" t="s">
        <v>175</v>
      </c>
      <c r="F3" t="s">
        <v>176</v>
      </c>
      <c r="G3" t="s">
        <v>177</v>
      </c>
      <c r="H3" t="s">
        <v>178</v>
      </c>
      <c r="I3" t="s">
        <v>56</v>
      </c>
    </row>
    <row r="4" spans="1:9" x14ac:dyDescent="0.35">
      <c r="A4" t="s">
        <v>401</v>
      </c>
      <c r="B4" t="s">
        <v>402</v>
      </c>
      <c r="C4" t="s">
        <v>240</v>
      </c>
      <c r="D4" t="s">
        <v>27</v>
      </c>
      <c r="E4" t="s">
        <v>126</v>
      </c>
      <c r="F4">
        <v>309211</v>
      </c>
      <c r="G4" s="3">
        <v>45558</v>
      </c>
      <c r="H4" t="s">
        <v>195</v>
      </c>
      <c r="I4" s="4">
        <v>46127.974039351851</v>
      </c>
    </row>
    <row r="5" spans="1:9" x14ac:dyDescent="0.35">
      <c r="A5" t="s">
        <v>183</v>
      </c>
      <c r="B5" t="s">
        <v>184</v>
      </c>
      <c r="C5" t="s">
        <v>181</v>
      </c>
      <c r="D5" t="s">
        <v>27</v>
      </c>
      <c r="E5" t="s">
        <v>144</v>
      </c>
      <c r="F5">
        <v>70776</v>
      </c>
      <c r="G5" s="3">
        <v>45890</v>
      </c>
      <c r="H5" t="s">
        <v>182</v>
      </c>
      <c r="I5" s="4">
        <v>46127.974039351851</v>
      </c>
    </row>
    <row r="6" spans="1:9" x14ac:dyDescent="0.35">
      <c r="A6" t="s">
        <v>392</v>
      </c>
      <c r="B6" t="s">
        <v>393</v>
      </c>
      <c r="C6" t="s">
        <v>181</v>
      </c>
      <c r="D6" t="s">
        <v>27</v>
      </c>
      <c r="E6" t="s">
        <v>141</v>
      </c>
      <c r="F6">
        <v>405772</v>
      </c>
      <c r="G6" s="3">
        <v>45639</v>
      </c>
      <c r="H6" t="s">
        <v>188</v>
      </c>
      <c r="I6" s="4">
        <v>46127.974039351851</v>
      </c>
    </row>
    <row r="7" spans="1:9" x14ac:dyDescent="0.35">
      <c r="A7" t="s">
        <v>390</v>
      </c>
      <c r="B7" t="s">
        <v>391</v>
      </c>
      <c r="C7" t="s">
        <v>243</v>
      </c>
      <c r="D7" t="s">
        <v>27</v>
      </c>
      <c r="E7" t="s">
        <v>98</v>
      </c>
      <c r="F7">
        <v>119358</v>
      </c>
      <c r="G7" s="3">
        <v>45906</v>
      </c>
      <c r="H7" t="s">
        <v>188</v>
      </c>
      <c r="I7" s="4">
        <v>46127.974039351851</v>
      </c>
    </row>
    <row r="8" spans="1:9" x14ac:dyDescent="0.35">
      <c r="A8" t="s">
        <v>192</v>
      </c>
      <c r="B8" t="s">
        <v>193</v>
      </c>
      <c r="C8" t="s">
        <v>194</v>
      </c>
      <c r="D8" t="s">
        <v>27</v>
      </c>
      <c r="E8" t="s">
        <v>68</v>
      </c>
      <c r="F8">
        <v>156170</v>
      </c>
      <c r="G8" s="3">
        <v>45600</v>
      </c>
      <c r="H8" t="s">
        <v>195</v>
      </c>
      <c r="I8" s="4">
        <v>46127.974039351851</v>
      </c>
    </row>
    <row r="9" spans="1:9" x14ac:dyDescent="0.35">
      <c r="A9" t="s">
        <v>372</v>
      </c>
      <c r="B9" t="s">
        <v>373</v>
      </c>
      <c r="C9" t="s">
        <v>240</v>
      </c>
      <c r="D9" t="s">
        <v>27</v>
      </c>
      <c r="E9" t="s">
        <v>68</v>
      </c>
      <c r="F9">
        <v>501383</v>
      </c>
      <c r="G9" s="3">
        <v>46070</v>
      </c>
      <c r="H9" t="s">
        <v>188</v>
      </c>
      <c r="I9" s="4">
        <v>46127.974039351851</v>
      </c>
    </row>
    <row r="10" spans="1:9" x14ac:dyDescent="0.35">
      <c r="A10" t="s">
        <v>199</v>
      </c>
      <c r="B10" t="s">
        <v>200</v>
      </c>
      <c r="C10" t="s">
        <v>201</v>
      </c>
      <c r="D10" t="s">
        <v>27</v>
      </c>
      <c r="E10" t="s">
        <v>87</v>
      </c>
      <c r="F10">
        <v>244570</v>
      </c>
      <c r="G10" s="3">
        <v>45761</v>
      </c>
      <c r="H10" t="s">
        <v>182</v>
      </c>
      <c r="I10" s="4">
        <v>46127.974039351851</v>
      </c>
    </row>
    <row r="11" spans="1:9" x14ac:dyDescent="0.35">
      <c r="A11" t="s">
        <v>345</v>
      </c>
      <c r="B11" t="s">
        <v>346</v>
      </c>
      <c r="C11" t="s">
        <v>198</v>
      </c>
      <c r="D11" t="s">
        <v>27</v>
      </c>
      <c r="E11" t="s">
        <v>83</v>
      </c>
      <c r="F11">
        <v>489788</v>
      </c>
      <c r="G11" s="3">
        <v>45543</v>
      </c>
      <c r="H11" t="s">
        <v>182</v>
      </c>
      <c r="I11" s="4">
        <v>46127.974039351851</v>
      </c>
    </row>
    <row r="12" spans="1:9" x14ac:dyDescent="0.35">
      <c r="A12" t="s">
        <v>334</v>
      </c>
      <c r="B12" t="s">
        <v>335</v>
      </c>
      <c r="C12" t="s">
        <v>240</v>
      </c>
      <c r="D12" t="s">
        <v>27</v>
      </c>
      <c r="E12" t="s">
        <v>108</v>
      </c>
      <c r="F12">
        <v>366037</v>
      </c>
      <c r="G12" s="3">
        <v>46094</v>
      </c>
      <c r="H12" t="s">
        <v>195</v>
      </c>
      <c r="I12" s="4">
        <v>46127.974039351851</v>
      </c>
    </row>
    <row r="13" spans="1:9" x14ac:dyDescent="0.35">
      <c r="A13" t="s">
        <v>317</v>
      </c>
      <c r="B13" t="s">
        <v>318</v>
      </c>
      <c r="C13" t="s">
        <v>240</v>
      </c>
      <c r="D13" t="s">
        <v>27</v>
      </c>
      <c r="E13" t="s">
        <v>154</v>
      </c>
      <c r="F13">
        <v>131096</v>
      </c>
      <c r="G13" s="3">
        <v>45962</v>
      </c>
      <c r="H13" t="s">
        <v>182</v>
      </c>
      <c r="I13" s="4">
        <v>46127.974039351851</v>
      </c>
    </row>
    <row r="14" spans="1:9" x14ac:dyDescent="0.35">
      <c r="A14" t="s">
        <v>302</v>
      </c>
      <c r="B14" t="s">
        <v>303</v>
      </c>
      <c r="C14" t="s">
        <v>304</v>
      </c>
      <c r="D14" t="s">
        <v>27</v>
      </c>
      <c r="E14" t="s">
        <v>158</v>
      </c>
      <c r="F14">
        <v>391936</v>
      </c>
      <c r="G14" s="3">
        <v>45545</v>
      </c>
      <c r="H14" t="s">
        <v>188</v>
      </c>
      <c r="I14" s="4">
        <v>46127.974039351851</v>
      </c>
    </row>
    <row r="15" spans="1:9" x14ac:dyDescent="0.35">
      <c r="A15" t="s">
        <v>300</v>
      </c>
      <c r="B15" t="s">
        <v>301</v>
      </c>
      <c r="C15" t="s">
        <v>187</v>
      </c>
      <c r="D15" t="s">
        <v>27</v>
      </c>
      <c r="E15" t="s">
        <v>101</v>
      </c>
      <c r="F15">
        <v>197250</v>
      </c>
      <c r="G15" s="3">
        <v>45769</v>
      </c>
      <c r="H15" t="s">
        <v>188</v>
      </c>
      <c r="I15" s="4">
        <v>46127.974039351851</v>
      </c>
    </row>
    <row r="16" spans="1:9" x14ac:dyDescent="0.35">
      <c r="A16" t="s">
        <v>261</v>
      </c>
      <c r="B16" t="s">
        <v>193</v>
      </c>
      <c r="C16" t="s">
        <v>194</v>
      </c>
      <c r="D16" t="s">
        <v>27</v>
      </c>
      <c r="E16" t="s">
        <v>124</v>
      </c>
      <c r="F16">
        <v>398221</v>
      </c>
      <c r="G16" s="3">
        <v>45414</v>
      </c>
      <c r="H16" t="s">
        <v>188</v>
      </c>
      <c r="I16" s="4">
        <v>46127.974039351851</v>
      </c>
    </row>
    <row r="17" spans="1:9" x14ac:dyDescent="0.35">
      <c r="A17" t="s">
        <v>246</v>
      </c>
      <c r="B17" t="s">
        <v>247</v>
      </c>
      <c r="C17" t="s">
        <v>248</v>
      </c>
      <c r="D17" t="s">
        <v>27</v>
      </c>
      <c r="E17" t="s">
        <v>83</v>
      </c>
      <c r="F17">
        <v>451785</v>
      </c>
      <c r="G17" s="3">
        <v>45914</v>
      </c>
      <c r="H17" t="s">
        <v>188</v>
      </c>
      <c r="I17" s="4">
        <v>46127.974039351851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1DDE-2E79-4696-9977-647AFAB5E0A3}">
  <sheetPr codeName="Sheet16"/>
  <dimension ref="A1:I29"/>
  <sheetViews>
    <sheetView workbookViewId="0">
      <selection activeCell="A3" sqref="A3:I29"/>
    </sheetView>
  </sheetViews>
  <sheetFormatPr defaultRowHeight="14.5" x14ac:dyDescent="0.35"/>
  <cols>
    <col min="1" max="2" width="14.1796875" bestFit="1" customWidth="1"/>
    <col min="3" max="3" width="36" bestFit="1" customWidth="1"/>
    <col min="4" max="4" width="18.179687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999</v>
      </c>
    </row>
    <row r="3" spans="1:9" x14ac:dyDescent="0.35">
      <c r="A3" t="s">
        <v>171</v>
      </c>
      <c r="B3" t="s">
        <v>172</v>
      </c>
      <c r="C3" t="s">
        <v>173</v>
      </c>
      <c r="D3" t="s">
        <v>174</v>
      </c>
      <c r="E3" t="s">
        <v>175</v>
      </c>
      <c r="F3" t="s">
        <v>176</v>
      </c>
      <c r="G3" t="s">
        <v>177</v>
      </c>
      <c r="H3" t="s">
        <v>178</v>
      </c>
      <c r="I3" t="s">
        <v>56</v>
      </c>
    </row>
    <row r="4" spans="1:9" x14ac:dyDescent="0.35">
      <c r="A4" t="s">
        <v>418</v>
      </c>
      <c r="B4" t="s">
        <v>419</v>
      </c>
      <c r="C4" t="s">
        <v>236</v>
      </c>
      <c r="D4" t="s">
        <v>31</v>
      </c>
      <c r="E4" t="s">
        <v>139</v>
      </c>
      <c r="F4">
        <v>197936</v>
      </c>
      <c r="G4" s="3">
        <v>45841</v>
      </c>
      <c r="H4" t="s">
        <v>182</v>
      </c>
      <c r="I4" s="4">
        <v>46127.974039351851</v>
      </c>
    </row>
    <row r="5" spans="1:9" x14ac:dyDescent="0.35">
      <c r="A5" t="s">
        <v>416</v>
      </c>
      <c r="B5" t="s">
        <v>417</v>
      </c>
      <c r="C5" t="s">
        <v>187</v>
      </c>
      <c r="D5" t="s">
        <v>31</v>
      </c>
      <c r="E5" t="s">
        <v>87</v>
      </c>
      <c r="F5">
        <v>367454</v>
      </c>
      <c r="G5" s="3">
        <v>46097</v>
      </c>
      <c r="H5" t="s">
        <v>188</v>
      </c>
      <c r="I5" s="4">
        <v>46127.974039351851</v>
      </c>
    </row>
    <row r="6" spans="1:9" x14ac:dyDescent="0.35">
      <c r="A6" t="s">
        <v>414</v>
      </c>
      <c r="B6" t="s">
        <v>415</v>
      </c>
      <c r="C6" t="s">
        <v>236</v>
      </c>
      <c r="D6" t="s">
        <v>31</v>
      </c>
      <c r="E6" t="s">
        <v>73</v>
      </c>
      <c r="F6">
        <v>216851</v>
      </c>
      <c r="G6" s="3">
        <v>45944</v>
      </c>
      <c r="H6" t="s">
        <v>188</v>
      </c>
      <c r="I6" s="4">
        <v>46127.974039351851</v>
      </c>
    </row>
    <row r="7" spans="1:9" x14ac:dyDescent="0.35">
      <c r="A7" t="s">
        <v>405</v>
      </c>
      <c r="B7" t="s">
        <v>209</v>
      </c>
      <c r="C7" t="s">
        <v>201</v>
      </c>
      <c r="D7" t="s">
        <v>31</v>
      </c>
      <c r="E7" t="s">
        <v>159</v>
      </c>
      <c r="F7">
        <v>506688</v>
      </c>
      <c r="G7" s="3">
        <v>45542</v>
      </c>
      <c r="H7" t="s">
        <v>182</v>
      </c>
      <c r="I7" s="4">
        <v>46127.974039351851</v>
      </c>
    </row>
    <row r="8" spans="1:9" x14ac:dyDescent="0.35">
      <c r="A8" t="s">
        <v>377</v>
      </c>
      <c r="B8" t="s">
        <v>378</v>
      </c>
      <c r="C8" t="s">
        <v>266</v>
      </c>
      <c r="D8" t="s">
        <v>31</v>
      </c>
      <c r="E8" t="s">
        <v>68</v>
      </c>
      <c r="F8">
        <v>522309</v>
      </c>
      <c r="G8" s="3">
        <v>45885</v>
      </c>
      <c r="H8" t="s">
        <v>195</v>
      </c>
      <c r="I8" s="4">
        <v>46127.974039351851</v>
      </c>
    </row>
    <row r="9" spans="1:9" x14ac:dyDescent="0.35">
      <c r="A9" t="s">
        <v>374</v>
      </c>
      <c r="B9" t="s">
        <v>227</v>
      </c>
      <c r="C9" t="s">
        <v>369</v>
      </c>
      <c r="D9" t="s">
        <v>31</v>
      </c>
      <c r="E9" t="s">
        <v>128</v>
      </c>
      <c r="F9">
        <v>138620</v>
      </c>
      <c r="G9" s="3">
        <v>45708</v>
      </c>
      <c r="H9" t="s">
        <v>188</v>
      </c>
      <c r="I9" s="4">
        <v>46127.974039351851</v>
      </c>
    </row>
    <row r="10" spans="1:9" x14ac:dyDescent="0.35">
      <c r="A10" t="s">
        <v>361</v>
      </c>
      <c r="B10" t="s">
        <v>362</v>
      </c>
      <c r="C10" t="s">
        <v>266</v>
      </c>
      <c r="D10" t="s">
        <v>31</v>
      </c>
      <c r="E10" t="s">
        <v>66</v>
      </c>
      <c r="F10">
        <v>359320</v>
      </c>
      <c r="G10" s="3">
        <v>45801</v>
      </c>
      <c r="H10" t="s">
        <v>195</v>
      </c>
      <c r="I10" s="4">
        <v>46127.974039351851</v>
      </c>
    </row>
    <row r="11" spans="1:9" x14ac:dyDescent="0.35">
      <c r="A11" t="s">
        <v>360</v>
      </c>
      <c r="B11" t="s">
        <v>310</v>
      </c>
      <c r="C11" t="s">
        <v>322</v>
      </c>
      <c r="D11" t="s">
        <v>31</v>
      </c>
      <c r="E11" t="s">
        <v>79</v>
      </c>
      <c r="F11">
        <v>474937</v>
      </c>
      <c r="G11" s="3">
        <v>45560</v>
      </c>
      <c r="H11" t="s">
        <v>182</v>
      </c>
      <c r="I11" s="4">
        <v>46127.974039351851</v>
      </c>
    </row>
    <row r="12" spans="1:9" x14ac:dyDescent="0.35">
      <c r="A12" t="s">
        <v>354</v>
      </c>
      <c r="B12" t="s">
        <v>355</v>
      </c>
      <c r="C12" t="s">
        <v>187</v>
      </c>
      <c r="D12" t="s">
        <v>31</v>
      </c>
      <c r="E12" t="s">
        <v>169</v>
      </c>
      <c r="F12">
        <v>301935</v>
      </c>
      <c r="G12" s="3">
        <v>45591</v>
      </c>
      <c r="H12" t="s">
        <v>188</v>
      </c>
      <c r="I12" s="4">
        <v>46127.974039351851</v>
      </c>
    </row>
    <row r="13" spans="1:9" x14ac:dyDescent="0.35">
      <c r="A13" t="s">
        <v>208</v>
      </c>
      <c r="B13" t="s">
        <v>209</v>
      </c>
      <c r="C13" t="s">
        <v>210</v>
      </c>
      <c r="D13" t="s">
        <v>31</v>
      </c>
      <c r="E13" t="s">
        <v>140</v>
      </c>
      <c r="F13">
        <v>276917</v>
      </c>
      <c r="G13" s="3">
        <v>45889</v>
      </c>
      <c r="H13" t="s">
        <v>182</v>
      </c>
      <c r="I13" s="4">
        <v>46127.974039351851</v>
      </c>
    </row>
    <row r="14" spans="1:9" x14ac:dyDescent="0.35">
      <c r="A14" t="s">
        <v>341</v>
      </c>
      <c r="B14" t="s">
        <v>342</v>
      </c>
      <c r="C14" t="s">
        <v>201</v>
      </c>
      <c r="D14" t="s">
        <v>31</v>
      </c>
      <c r="E14" t="s">
        <v>126</v>
      </c>
      <c r="F14">
        <v>319815</v>
      </c>
      <c r="G14" s="3">
        <v>45987</v>
      </c>
      <c r="H14" t="s">
        <v>182</v>
      </c>
      <c r="I14" s="4">
        <v>46127.974039351851</v>
      </c>
    </row>
    <row r="15" spans="1:9" x14ac:dyDescent="0.35">
      <c r="A15" t="s">
        <v>338</v>
      </c>
      <c r="B15" t="s">
        <v>268</v>
      </c>
      <c r="C15" t="s">
        <v>191</v>
      </c>
      <c r="D15" t="s">
        <v>31</v>
      </c>
      <c r="E15" t="s">
        <v>132</v>
      </c>
      <c r="F15">
        <v>427994</v>
      </c>
      <c r="G15" s="3">
        <v>45889</v>
      </c>
      <c r="H15" t="s">
        <v>195</v>
      </c>
      <c r="I15" s="4">
        <v>46127.974039351851</v>
      </c>
    </row>
    <row r="16" spans="1:9" x14ac:dyDescent="0.35">
      <c r="A16" t="s">
        <v>333</v>
      </c>
      <c r="B16" t="s">
        <v>295</v>
      </c>
      <c r="C16" t="s">
        <v>279</v>
      </c>
      <c r="D16" t="s">
        <v>31</v>
      </c>
      <c r="E16" t="s">
        <v>85</v>
      </c>
      <c r="F16">
        <v>288714</v>
      </c>
      <c r="G16" s="3">
        <v>46023</v>
      </c>
      <c r="H16" t="s">
        <v>188</v>
      </c>
      <c r="I16" s="4">
        <v>46127.974039351851</v>
      </c>
    </row>
    <row r="17" spans="1:9" x14ac:dyDescent="0.35">
      <c r="A17" t="s">
        <v>331</v>
      </c>
      <c r="B17" t="s">
        <v>332</v>
      </c>
      <c r="C17" t="s">
        <v>322</v>
      </c>
      <c r="D17" t="s">
        <v>31</v>
      </c>
      <c r="E17" t="s">
        <v>60</v>
      </c>
      <c r="F17">
        <v>405429</v>
      </c>
      <c r="G17" s="3">
        <v>45603</v>
      </c>
      <c r="H17" t="s">
        <v>195</v>
      </c>
      <c r="I17" s="4">
        <v>46127.974039351851</v>
      </c>
    </row>
    <row r="18" spans="1:9" x14ac:dyDescent="0.35">
      <c r="A18" t="s">
        <v>309</v>
      </c>
      <c r="B18" t="s">
        <v>310</v>
      </c>
      <c r="C18" t="s">
        <v>236</v>
      </c>
      <c r="D18" t="s">
        <v>31</v>
      </c>
      <c r="E18" t="s">
        <v>130</v>
      </c>
      <c r="F18">
        <v>123271</v>
      </c>
      <c r="G18" s="3">
        <v>45604</v>
      </c>
      <c r="H18" t="s">
        <v>182</v>
      </c>
      <c r="I18" s="4">
        <v>46127.974039351851</v>
      </c>
    </row>
    <row r="19" spans="1:9" x14ac:dyDescent="0.35">
      <c r="A19" t="s">
        <v>308</v>
      </c>
      <c r="B19" t="s">
        <v>268</v>
      </c>
      <c r="C19" t="s">
        <v>243</v>
      </c>
      <c r="D19" t="s">
        <v>31</v>
      </c>
      <c r="E19" t="s">
        <v>91</v>
      </c>
      <c r="F19">
        <v>223232</v>
      </c>
      <c r="G19" s="3">
        <v>46070</v>
      </c>
      <c r="H19" t="s">
        <v>188</v>
      </c>
      <c r="I19" s="4">
        <v>46127.974039351851</v>
      </c>
    </row>
    <row r="20" spans="1:9" x14ac:dyDescent="0.35">
      <c r="A20" t="s">
        <v>306</v>
      </c>
      <c r="B20" t="s">
        <v>307</v>
      </c>
      <c r="C20" t="s">
        <v>207</v>
      </c>
      <c r="D20" t="s">
        <v>31</v>
      </c>
      <c r="E20" t="s">
        <v>126</v>
      </c>
      <c r="F20">
        <v>321675</v>
      </c>
      <c r="G20" s="3">
        <v>45696</v>
      </c>
      <c r="H20" t="s">
        <v>195</v>
      </c>
      <c r="I20" s="4">
        <v>46127.974039351851</v>
      </c>
    </row>
    <row r="21" spans="1:9" x14ac:dyDescent="0.35">
      <c r="A21" t="s">
        <v>226</v>
      </c>
      <c r="B21" t="s">
        <v>227</v>
      </c>
      <c r="C21" t="s">
        <v>204</v>
      </c>
      <c r="D21" t="s">
        <v>31</v>
      </c>
      <c r="E21" t="s">
        <v>73</v>
      </c>
      <c r="F21">
        <v>260889</v>
      </c>
      <c r="G21" s="3">
        <v>45644</v>
      </c>
      <c r="H21" t="s">
        <v>195</v>
      </c>
      <c r="I21" s="4">
        <v>46127.974039351851</v>
      </c>
    </row>
    <row r="22" spans="1:9" x14ac:dyDescent="0.35">
      <c r="A22" t="s">
        <v>294</v>
      </c>
      <c r="B22" t="s">
        <v>295</v>
      </c>
      <c r="C22" t="s">
        <v>187</v>
      </c>
      <c r="D22" t="s">
        <v>31</v>
      </c>
      <c r="E22" t="s">
        <v>165</v>
      </c>
      <c r="F22">
        <v>108964</v>
      </c>
      <c r="G22" s="3">
        <v>45807</v>
      </c>
      <c r="H22" t="s">
        <v>182</v>
      </c>
      <c r="I22" s="4">
        <v>46127.974039351851</v>
      </c>
    </row>
    <row r="23" spans="1:9" x14ac:dyDescent="0.35">
      <c r="A23" t="s">
        <v>284</v>
      </c>
      <c r="B23" t="s">
        <v>285</v>
      </c>
      <c r="C23" t="s">
        <v>236</v>
      </c>
      <c r="D23" t="s">
        <v>31</v>
      </c>
      <c r="E23" t="s">
        <v>110</v>
      </c>
      <c r="F23">
        <v>228658</v>
      </c>
      <c r="G23" s="3">
        <v>45716</v>
      </c>
      <c r="H23" t="s">
        <v>188</v>
      </c>
      <c r="I23" s="4">
        <v>46127.974039351851</v>
      </c>
    </row>
    <row r="24" spans="1:9" x14ac:dyDescent="0.35">
      <c r="A24" t="s">
        <v>282</v>
      </c>
      <c r="B24" t="s">
        <v>283</v>
      </c>
      <c r="C24" t="s">
        <v>210</v>
      </c>
      <c r="D24" t="s">
        <v>31</v>
      </c>
      <c r="E24" t="s">
        <v>152</v>
      </c>
      <c r="F24">
        <v>385542</v>
      </c>
      <c r="G24" s="3">
        <v>45826</v>
      </c>
      <c r="H24" t="s">
        <v>182</v>
      </c>
      <c r="I24" s="4">
        <v>46127.974039351851</v>
      </c>
    </row>
    <row r="25" spans="1:9" x14ac:dyDescent="0.35">
      <c r="A25" t="s">
        <v>273</v>
      </c>
      <c r="B25" t="s">
        <v>274</v>
      </c>
      <c r="C25" t="s">
        <v>240</v>
      </c>
      <c r="D25" t="s">
        <v>31</v>
      </c>
      <c r="E25" t="s">
        <v>164</v>
      </c>
      <c r="F25">
        <v>100434</v>
      </c>
      <c r="G25" s="3">
        <v>45622</v>
      </c>
      <c r="H25" t="s">
        <v>188</v>
      </c>
      <c r="I25" s="4">
        <v>46127.974039351851</v>
      </c>
    </row>
    <row r="26" spans="1:9" x14ac:dyDescent="0.35">
      <c r="A26" t="s">
        <v>267</v>
      </c>
      <c r="B26" t="s">
        <v>268</v>
      </c>
      <c r="C26" t="s">
        <v>245</v>
      </c>
      <c r="D26" t="s">
        <v>31</v>
      </c>
      <c r="E26" t="s">
        <v>64</v>
      </c>
      <c r="F26">
        <v>350398</v>
      </c>
      <c r="G26" s="3">
        <v>46058</v>
      </c>
      <c r="H26" t="s">
        <v>195</v>
      </c>
      <c r="I26" s="4">
        <v>46127.974039351851</v>
      </c>
    </row>
    <row r="27" spans="1:9" x14ac:dyDescent="0.35">
      <c r="A27" t="s">
        <v>264</v>
      </c>
      <c r="B27" t="s">
        <v>265</v>
      </c>
      <c r="C27" t="s">
        <v>266</v>
      </c>
      <c r="D27" t="s">
        <v>31</v>
      </c>
      <c r="E27" t="s">
        <v>134</v>
      </c>
      <c r="F27">
        <v>115253</v>
      </c>
      <c r="G27" s="3">
        <v>45820</v>
      </c>
      <c r="H27" t="s">
        <v>182</v>
      </c>
      <c r="I27" s="4">
        <v>46127.974039351851</v>
      </c>
    </row>
    <row r="28" spans="1:9" x14ac:dyDescent="0.35">
      <c r="A28" t="s">
        <v>242</v>
      </c>
      <c r="B28" t="s">
        <v>227</v>
      </c>
      <c r="C28" t="s">
        <v>243</v>
      </c>
      <c r="D28" t="s">
        <v>31</v>
      </c>
      <c r="E28" t="s">
        <v>77</v>
      </c>
      <c r="F28">
        <v>178021</v>
      </c>
      <c r="G28" s="3">
        <v>45397</v>
      </c>
      <c r="H28" t="s">
        <v>195</v>
      </c>
      <c r="I28" s="4">
        <v>46127.974039351851</v>
      </c>
    </row>
    <row r="29" spans="1:9" x14ac:dyDescent="0.35">
      <c r="A29" t="s">
        <v>249</v>
      </c>
      <c r="B29" t="s">
        <v>250</v>
      </c>
      <c r="C29" t="s">
        <v>243</v>
      </c>
      <c r="D29" t="s">
        <v>31</v>
      </c>
      <c r="E29" t="s">
        <v>165</v>
      </c>
      <c r="F29">
        <v>193080</v>
      </c>
      <c r="G29" s="3">
        <v>45381</v>
      </c>
      <c r="H29" t="s">
        <v>195</v>
      </c>
      <c r="I29" s="4">
        <v>46127.974039351851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A597-60E9-4105-B828-92119BC43158}">
  <sheetPr codeName="Sheet17"/>
  <dimension ref="A1:I26"/>
  <sheetViews>
    <sheetView workbookViewId="0">
      <selection activeCell="A3" sqref="A3:I26"/>
    </sheetView>
  </sheetViews>
  <sheetFormatPr defaultRowHeight="14.5" x14ac:dyDescent="0.35"/>
  <cols>
    <col min="1" max="2" width="14.1796875" bestFit="1" customWidth="1"/>
    <col min="3" max="3" width="33.453125" bestFit="1" customWidth="1"/>
    <col min="4" max="4" width="25.632812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1000</v>
      </c>
    </row>
    <row r="3" spans="1:9" x14ac:dyDescent="0.35">
      <c r="A3" t="s">
        <v>171</v>
      </c>
      <c r="B3" t="s">
        <v>172</v>
      </c>
      <c r="C3" t="s">
        <v>173</v>
      </c>
      <c r="D3" t="s">
        <v>174</v>
      </c>
      <c r="E3" t="s">
        <v>175</v>
      </c>
      <c r="F3" t="s">
        <v>176</v>
      </c>
      <c r="G3" t="s">
        <v>177</v>
      </c>
      <c r="H3" t="s">
        <v>178</v>
      </c>
      <c r="I3" t="s">
        <v>56</v>
      </c>
    </row>
    <row r="4" spans="1:9" x14ac:dyDescent="0.35">
      <c r="A4" t="s">
        <v>420</v>
      </c>
      <c r="B4" t="s">
        <v>421</v>
      </c>
      <c r="C4" t="s">
        <v>279</v>
      </c>
      <c r="D4" t="s">
        <v>29</v>
      </c>
      <c r="E4" t="s">
        <v>116</v>
      </c>
      <c r="F4">
        <v>522017</v>
      </c>
      <c r="G4" s="3">
        <v>45453</v>
      </c>
      <c r="H4" t="s">
        <v>188</v>
      </c>
      <c r="I4" s="4">
        <v>46127.974039351851</v>
      </c>
    </row>
    <row r="5" spans="1:9" x14ac:dyDescent="0.35">
      <c r="A5" t="s">
        <v>410</v>
      </c>
      <c r="B5" t="s">
        <v>411</v>
      </c>
      <c r="C5" t="s">
        <v>304</v>
      </c>
      <c r="D5" t="s">
        <v>29</v>
      </c>
      <c r="E5" t="s">
        <v>152</v>
      </c>
      <c r="F5">
        <v>239458</v>
      </c>
      <c r="G5" s="3">
        <v>45653</v>
      </c>
      <c r="H5" t="s">
        <v>182</v>
      </c>
      <c r="I5" s="4">
        <v>46127.974039351851</v>
      </c>
    </row>
    <row r="6" spans="1:9" x14ac:dyDescent="0.35">
      <c r="A6" t="s">
        <v>403</v>
      </c>
      <c r="B6" t="s">
        <v>299</v>
      </c>
      <c r="C6" t="s">
        <v>245</v>
      </c>
      <c r="D6" t="s">
        <v>29</v>
      </c>
      <c r="E6" t="s">
        <v>152</v>
      </c>
      <c r="F6">
        <v>419280</v>
      </c>
      <c r="G6" s="3">
        <v>45727</v>
      </c>
      <c r="H6" t="s">
        <v>195</v>
      </c>
      <c r="I6" s="4">
        <v>46127.974039351851</v>
      </c>
    </row>
    <row r="7" spans="1:9" x14ac:dyDescent="0.35">
      <c r="A7" t="s">
        <v>399</v>
      </c>
      <c r="B7" t="s">
        <v>400</v>
      </c>
      <c r="C7" t="s">
        <v>279</v>
      </c>
      <c r="D7" t="s">
        <v>29</v>
      </c>
      <c r="E7" t="s">
        <v>72</v>
      </c>
      <c r="F7">
        <v>171501</v>
      </c>
      <c r="G7" s="3">
        <v>45529</v>
      </c>
      <c r="H7" t="s">
        <v>182</v>
      </c>
      <c r="I7" s="4">
        <v>46127.974039351851</v>
      </c>
    </row>
    <row r="8" spans="1:9" x14ac:dyDescent="0.35">
      <c r="A8" t="s">
        <v>394</v>
      </c>
      <c r="B8" t="s">
        <v>395</v>
      </c>
      <c r="C8" t="s">
        <v>187</v>
      </c>
      <c r="D8" t="s">
        <v>29</v>
      </c>
      <c r="E8" t="s">
        <v>120</v>
      </c>
      <c r="F8">
        <v>103754</v>
      </c>
      <c r="G8" s="3">
        <v>45612</v>
      </c>
      <c r="H8" t="s">
        <v>195</v>
      </c>
      <c r="I8" s="4">
        <v>46127.974039351851</v>
      </c>
    </row>
    <row r="9" spans="1:9" x14ac:dyDescent="0.35">
      <c r="A9" t="s">
        <v>196</v>
      </c>
      <c r="B9" t="s">
        <v>197</v>
      </c>
      <c r="C9" t="s">
        <v>198</v>
      </c>
      <c r="D9" t="s">
        <v>29</v>
      </c>
      <c r="E9" t="s">
        <v>150</v>
      </c>
      <c r="F9">
        <v>240680</v>
      </c>
      <c r="G9" s="3">
        <v>45543</v>
      </c>
      <c r="H9" t="s">
        <v>182</v>
      </c>
      <c r="I9" s="4">
        <v>46127.974039351851</v>
      </c>
    </row>
    <row r="10" spans="1:9" x14ac:dyDescent="0.35">
      <c r="A10" t="s">
        <v>385</v>
      </c>
      <c r="B10" t="s">
        <v>386</v>
      </c>
      <c r="C10" t="s">
        <v>233</v>
      </c>
      <c r="D10" t="s">
        <v>29</v>
      </c>
      <c r="E10" t="s">
        <v>132</v>
      </c>
      <c r="F10">
        <v>284162</v>
      </c>
      <c r="G10" s="3">
        <v>45713</v>
      </c>
      <c r="H10" t="s">
        <v>182</v>
      </c>
      <c r="I10" s="4">
        <v>46127.974039351851</v>
      </c>
    </row>
    <row r="11" spans="1:9" x14ac:dyDescent="0.35">
      <c r="A11" t="s">
        <v>381</v>
      </c>
      <c r="B11" t="s">
        <v>382</v>
      </c>
      <c r="C11" t="s">
        <v>279</v>
      </c>
      <c r="D11" t="s">
        <v>29</v>
      </c>
      <c r="E11" t="s">
        <v>139</v>
      </c>
      <c r="F11">
        <v>182151</v>
      </c>
      <c r="G11" s="3">
        <v>45401</v>
      </c>
      <c r="H11" t="s">
        <v>195</v>
      </c>
      <c r="I11" s="4">
        <v>46127.974039351851</v>
      </c>
    </row>
    <row r="12" spans="1:9" x14ac:dyDescent="0.35">
      <c r="A12" t="s">
        <v>205</v>
      </c>
      <c r="B12" t="s">
        <v>206</v>
      </c>
      <c r="C12" t="s">
        <v>207</v>
      </c>
      <c r="D12" t="s">
        <v>29</v>
      </c>
      <c r="E12" t="s">
        <v>75</v>
      </c>
      <c r="F12">
        <v>54437</v>
      </c>
      <c r="G12" s="3">
        <v>45751</v>
      </c>
      <c r="H12" t="s">
        <v>195</v>
      </c>
      <c r="I12" s="4">
        <v>46127.974039351851</v>
      </c>
    </row>
    <row r="13" spans="1:9" x14ac:dyDescent="0.35">
      <c r="A13" t="s">
        <v>379</v>
      </c>
      <c r="B13" t="s">
        <v>380</v>
      </c>
      <c r="C13" t="s">
        <v>279</v>
      </c>
      <c r="D13" t="s">
        <v>29</v>
      </c>
      <c r="E13" t="s">
        <v>133</v>
      </c>
      <c r="F13">
        <v>529014</v>
      </c>
      <c r="G13" s="3">
        <v>45374</v>
      </c>
      <c r="H13" t="s">
        <v>195</v>
      </c>
      <c r="I13" s="4">
        <v>46127.974039351851</v>
      </c>
    </row>
    <row r="14" spans="1:9" x14ac:dyDescent="0.35">
      <c r="A14" t="s">
        <v>375</v>
      </c>
      <c r="B14" t="s">
        <v>376</v>
      </c>
      <c r="C14" t="s">
        <v>201</v>
      </c>
      <c r="D14" t="s">
        <v>29</v>
      </c>
      <c r="E14" t="s">
        <v>158</v>
      </c>
      <c r="F14">
        <v>270189</v>
      </c>
      <c r="G14" s="3">
        <v>45584</v>
      </c>
      <c r="H14" t="s">
        <v>188</v>
      </c>
      <c r="I14" s="4">
        <v>46127.974039351851</v>
      </c>
    </row>
    <row r="15" spans="1:9" x14ac:dyDescent="0.35">
      <c r="A15" t="s">
        <v>370</v>
      </c>
      <c r="B15" t="s">
        <v>371</v>
      </c>
      <c r="C15" t="s">
        <v>187</v>
      </c>
      <c r="D15" t="s">
        <v>29</v>
      </c>
      <c r="E15" t="s">
        <v>81</v>
      </c>
      <c r="F15">
        <v>490070</v>
      </c>
      <c r="G15" s="3">
        <v>45420</v>
      </c>
      <c r="H15" t="s">
        <v>182</v>
      </c>
      <c r="I15" s="4">
        <v>46127.974039351851</v>
      </c>
    </row>
    <row r="16" spans="1:9" x14ac:dyDescent="0.35">
      <c r="A16" t="s">
        <v>215</v>
      </c>
      <c r="B16" t="s">
        <v>216</v>
      </c>
      <c r="C16" t="s">
        <v>198</v>
      </c>
      <c r="D16" t="s">
        <v>29</v>
      </c>
      <c r="E16" t="s">
        <v>119</v>
      </c>
      <c r="F16">
        <v>127630</v>
      </c>
      <c r="G16" s="3">
        <v>45757</v>
      </c>
      <c r="H16" t="s">
        <v>195</v>
      </c>
      <c r="I16" s="4">
        <v>46127.974039351851</v>
      </c>
    </row>
    <row r="17" spans="1:9" x14ac:dyDescent="0.35">
      <c r="A17" t="s">
        <v>217</v>
      </c>
      <c r="B17" t="s">
        <v>218</v>
      </c>
      <c r="C17" t="s">
        <v>194</v>
      </c>
      <c r="D17" t="s">
        <v>29</v>
      </c>
      <c r="E17" t="s">
        <v>85</v>
      </c>
      <c r="F17">
        <v>507611</v>
      </c>
      <c r="G17" s="3">
        <v>45443</v>
      </c>
      <c r="H17" t="s">
        <v>195</v>
      </c>
      <c r="I17" s="4">
        <v>46127.974039351851</v>
      </c>
    </row>
    <row r="18" spans="1:9" x14ac:dyDescent="0.35">
      <c r="A18" t="s">
        <v>356</v>
      </c>
      <c r="B18" t="s">
        <v>357</v>
      </c>
      <c r="C18" t="s">
        <v>198</v>
      </c>
      <c r="D18" t="s">
        <v>29</v>
      </c>
      <c r="E18" t="s">
        <v>81</v>
      </c>
      <c r="F18">
        <v>131058</v>
      </c>
      <c r="G18" s="3">
        <v>45534</v>
      </c>
      <c r="H18" t="s">
        <v>188</v>
      </c>
      <c r="I18" s="4">
        <v>46127.974039351851</v>
      </c>
    </row>
    <row r="19" spans="1:9" x14ac:dyDescent="0.35">
      <c r="A19" t="s">
        <v>351</v>
      </c>
      <c r="B19" t="s">
        <v>352</v>
      </c>
      <c r="C19" t="s">
        <v>353</v>
      </c>
      <c r="D19" t="s">
        <v>29</v>
      </c>
      <c r="E19" t="s">
        <v>159</v>
      </c>
      <c r="F19">
        <v>134623</v>
      </c>
      <c r="G19" s="3">
        <v>45890</v>
      </c>
      <c r="H19" t="s">
        <v>188</v>
      </c>
      <c r="I19" s="4">
        <v>46127.974039351851</v>
      </c>
    </row>
    <row r="20" spans="1:9" x14ac:dyDescent="0.35">
      <c r="A20" t="s">
        <v>347</v>
      </c>
      <c r="B20" t="s">
        <v>348</v>
      </c>
      <c r="C20" t="s">
        <v>322</v>
      </c>
      <c r="D20" t="s">
        <v>29</v>
      </c>
      <c r="E20" t="s">
        <v>85</v>
      </c>
      <c r="F20">
        <v>132114</v>
      </c>
      <c r="G20" s="3">
        <v>45808</v>
      </c>
      <c r="H20" t="s">
        <v>182</v>
      </c>
      <c r="I20" s="4">
        <v>46127.974039351851</v>
      </c>
    </row>
    <row r="21" spans="1:9" x14ac:dyDescent="0.35">
      <c r="A21" t="s">
        <v>329</v>
      </c>
      <c r="B21" t="s">
        <v>330</v>
      </c>
      <c r="C21" t="s">
        <v>322</v>
      </c>
      <c r="D21" t="s">
        <v>29</v>
      </c>
      <c r="E21" t="s">
        <v>104</v>
      </c>
      <c r="F21">
        <v>269649</v>
      </c>
      <c r="G21" s="3">
        <v>45435</v>
      </c>
      <c r="H21" t="s">
        <v>182</v>
      </c>
      <c r="I21" s="4">
        <v>46127.974039351851</v>
      </c>
    </row>
    <row r="22" spans="1:9" x14ac:dyDescent="0.35">
      <c r="A22" t="s">
        <v>321</v>
      </c>
      <c r="B22" t="s">
        <v>287</v>
      </c>
      <c r="C22" t="s">
        <v>322</v>
      </c>
      <c r="D22" t="s">
        <v>29</v>
      </c>
      <c r="E22" t="s">
        <v>148</v>
      </c>
      <c r="F22">
        <v>294356</v>
      </c>
      <c r="G22" s="3">
        <v>45493</v>
      </c>
      <c r="H22" t="s">
        <v>182</v>
      </c>
      <c r="I22" s="4">
        <v>46127.974039351851</v>
      </c>
    </row>
    <row r="23" spans="1:9" x14ac:dyDescent="0.35">
      <c r="A23" t="s">
        <v>298</v>
      </c>
      <c r="B23" t="s">
        <v>299</v>
      </c>
      <c r="C23" t="s">
        <v>230</v>
      </c>
      <c r="D23" t="s">
        <v>29</v>
      </c>
      <c r="E23" t="s">
        <v>102</v>
      </c>
      <c r="F23">
        <v>168037</v>
      </c>
      <c r="G23" s="3">
        <v>45885</v>
      </c>
      <c r="H23" t="s">
        <v>188</v>
      </c>
      <c r="I23" s="4">
        <v>46127.974039351851</v>
      </c>
    </row>
    <row r="24" spans="1:9" x14ac:dyDescent="0.35">
      <c r="A24" t="s">
        <v>286</v>
      </c>
      <c r="B24" t="s">
        <v>287</v>
      </c>
      <c r="C24" t="s">
        <v>198</v>
      </c>
      <c r="D24" t="s">
        <v>29</v>
      </c>
      <c r="E24" t="s">
        <v>62</v>
      </c>
      <c r="F24">
        <v>446232</v>
      </c>
      <c r="G24" s="3">
        <v>45683</v>
      </c>
      <c r="H24" t="s">
        <v>182</v>
      </c>
      <c r="I24" s="4">
        <v>46127.974039351851</v>
      </c>
    </row>
    <row r="25" spans="1:9" x14ac:dyDescent="0.35">
      <c r="A25" t="s">
        <v>262</v>
      </c>
      <c r="B25" t="s">
        <v>263</v>
      </c>
      <c r="C25" t="s">
        <v>233</v>
      </c>
      <c r="D25" t="s">
        <v>29</v>
      </c>
      <c r="E25" t="s">
        <v>64</v>
      </c>
      <c r="F25">
        <v>274831</v>
      </c>
      <c r="G25" s="3">
        <v>45383</v>
      </c>
      <c r="H25" t="s">
        <v>182</v>
      </c>
      <c r="I25" s="4">
        <v>46127.974039351851</v>
      </c>
    </row>
    <row r="26" spans="1:9" x14ac:dyDescent="0.35">
      <c r="A26" t="s">
        <v>259</v>
      </c>
      <c r="B26" t="s">
        <v>260</v>
      </c>
      <c r="C26" t="s">
        <v>204</v>
      </c>
      <c r="D26" t="s">
        <v>29</v>
      </c>
      <c r="E26" t="s">
        <v>112</v>
      </c>
      <c r="F26">
        <v>62330</v>
      </c>
      <c r="G26" s="3">
        <v>45887</v>
      </c>
      <c r="H26" t="s">
        <v>182</v>
      </c>
      <c r="I26" s="4">
        <v>46127.974039351851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A823-13FD-483A-A9A3-CD5DB9C0B703}">
  <sheetPr codeName="Sheet18"/>
  <dimension ref="A1:I23"/>
  <sheetViews>
    <sheetView workbookViewId="0">
      <selection activeCell="A3" sqref="A3:I23"/>
    </sheetView>
  </sheetViews>
  <sheetFormatPr defaultRowHeight="14.5" x14ac:dyDescent="0.35"/>
  <cols>
    <col min="1" max="2" width="14.1796875" bestFit="1" customWidth="1"/>
    <col min="3" max="3" width="36" bestFit="1" customWidth="1"/>
    <col min="4" max="4" width="20.9062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1001</v>
      </c>
    </row>
    <row r="3" spans="1:9" x14ac:dyDescent="0.35">
      <c r="A3" t="s">
        <v>171</v>
      </c>
      <c r="B3" t="s">
        <v>172</v>
      </c>
      <c r="C3" t="s">
        <v>173</v>
      </c>
      <c r="D3" t="s">
        <v>174</v>
      </c>
      <c r="E3" t="s">
        <v>175</v>
      </c>
      <c r="F3" t="s">
        <v>176</v>
      </c>
      <c r="G3" t="s">
        <v>177</v>
      </c>
      <c r="H3" t="s">
        <v>178</v>
      </c>
      <c r="I3" t="s">
        <v>56</v>
      </c>
    </row>
    <row r="4" spans="1:9" x14ac:dyDescent="0.35">
      <c r="A4" t="s">
        <v>422</v>
      </c>
      <c r="B4" t="s">
        <v>423</v>
      </c>
      <c r="C4" t="s">
        <v>201</v>
      </c>
      <c r="D4" t="s">
        <v>28</v>
      </c>
      <c r="E4" t="s">
        <v>156</v>
      </c>
      <c r="F4">
        <v>161230</v>
      </c>
      <c r="G4" s="3">
        <v>45979</v>
      </c>
      <c r="H4" t="s">
        <v>182</v>
      </c>
      <c r="I4" s="4">
        <v>46127.974039351851</v>
      </c>
    </row>
    <row r="5" spans="1:9" x14ac:dyDescent="0.35">
      <c r="A5" t="s">
        <v>408</v>
      </c>
      <c r="B5" t="s">
        <v>409</v>
      </c>
      <c r="C5" t="s">
        <v>233</v>
      </c>
      <c r="D5" t="s">
        <v>28</v>
      </c>
      <c r="E5" t="s">
        <v>155</v>
      </c>
      <c r="F5">
        <v>74290</v>
      </c>
      <c r="G5" s="3">
        <v>45493</v>
      </c>
      <c r="H5" t="s">
        <v>182</v>
      </c>
      <c r="I5" s="4">
        <v>46127.974039351851</v>
      </c>
    </row>
    <row r="6" spans="1:9" x14ac:dyDescent="0.35">
      <c r="A6" t="s">
        <v>396</v>
      </c>
      <c r="B6" t="s">
        <v>212</v>
      </c>
      <c r="C6" t="s">
        <v>181</v>
      </c>
      <c r="D6" t="s">
        <v>28</v>
      </c>
      <c r="E6" t="s">
        <v>140</v>
      </c>
      <c r="F6">
        <v>409837</v>
      </c>
      <c r="G6" s="3">
        <v>45590</v>
      </c>
      <c r="H6" t="s">
        <v>195</v>
      </c>
      <c r="I6" s="4">
        <v>46127.974039351851</v>
      </c>
    </row>
    <row r="7" spans="1:9" x14ac:dyDescent="0.35">
      <c r="A7" t="s">
        <v>189</v>
      </c>
      <c r="B7" t="s">
        <v>190</v>
      </c>
      <c r="C7" t="s">
        <v>191</v>
      </c>
      <c r="D7" t="s">
        <v>28</v>
      </c>
      <c r="E7" t="s">
        <v>158</v>
      </c>
      <c r="F7">
        <v>52319</v>
      </c>
      <c r="G7" s="3">
        <v>45834</v>
      </c>
      <c r="H7" t="s">
        <v>188</v>
      </c>
      <c r="I7" s="4">
        <v>46127.974039351851</v>
      </c>
    </row>
    <row r="8" spans="1:9" x14ac:dyDescent="0.35">
      <c r="A8" t="s">
        <v>343</v>
      </c>
      <c r="B8" t="s">
        <v>255</v>
      </c>
      <c r="C8" t="s">
        <v>210</v>
      </c>
      <c r="D8" t="s">
        <v>28</v>
      </c>
      <c r="E8" t="s">
        <v>104</v>
      </c>
      <c r="F8">
        <v>338766</v>
      </c>
      <c r="G8" s="3">
        <v>46020</v>
      </c>
      <c r="H8" t="s">
        <v>188</v>
      </c>
      <c r="I8" s="4">
        <v>46127.974039351851</v>
      </c>
    </row>
    <row r="9" spans="1:9" x14ac:dyDescent="0.35">
      <c r="A9" t="s">
        <v>336</v>
      </c>
      <c r="B9" t="s">
        <v>337</v>
      </c>
      <c r="C9" t="s">
        <v>240</v>
      </c>
      <c r="D9" t="s">
        <v>28</v>
      </c>
      <c r="E9" t="s">
        <v>165</v>
      </c>
      <c r="F9">
        <v>341744</v>
      </c>
      <c r="G9" s="3">
        <v>45618</v>
      </c>
      <c r="H9" t="s">
        <v>195</v>
      </c>
      <c r="I9" s="4">
        <v>46127.974039351851</v>
      </c>
    </row>
    <row r="10" spans="1:9" x14ac:dyDescent="0.35">
      <c r="A10" t="s">
        <v>325</v>
      </c>
      <c r="B10" t="s">
        <v>326</v>
      </c>
      <c r="C10" t="s">
        <v>236</v>
      </c>
      <c r="D10" t="s">
        <v>28</v>
      </c>
      <c r="E10" t="s">
        <v>116</v>
      </c>
      <c r="F10">
        <v>243535</v>
      </c>
      <c r="G10" s="3">
        <v>45866</v>
      </c>
      <c r="H10" t="s">
        <v>182</v>
      </c>
      <c r="I10" s="4">
        <v>46127.974039351851</v>
      </c>
    </row>
    <row r="11" spans="1:9" x14ac:dyDescent="0.35">
      <c r="A11" t="s">
        <v>323</v>
      </c>
      <c r="B11" t="s">
        <v>324</v>
      </c>
      <c r="C11" t="s">
        <v>304</v>
      </c>
      <c r="D11" t="s">
        <v>28</v>
      </c>
      <c r="E11" t="s">
        <v>150</v>
      </c>
      <c r="F11">
        <v>499197</v>
      </c>
      <c r="G11" s="3">
        <v>45645</v>
      </c>
      <c r="H11" t="s">
        <v>182</v>
      </c>
      <c r="I11" s="4">
        <v>46127.974039351851</v>
      </c>
    </row>
    <row r="12" spans="1:9" x14ac:dyDescent="0.35">
      <c r="A12" t="s">
        <v>319</v>
      </c>
      <c r="B12" t="s">
        <v>320</v>
      </c>
      <c r="C12" t="s">
        <v>243</v>
      </c>
      <c r="D12" t="s">
        <v>28</v>
      </c>
      <c r="E12" t="s">
        <v>117</v>
      </c>
      <c r="F12">
        <v>221542</v>
      </c>
      <c r="G12" s="3">
        <v>45453</v>
      </c>
      <c r="H12" t="s">
        <v>188</v>
      </c>
      <c r="I12" s="4">
        <v>46127.974039351851</v>
      </c>
    </row>
    <row r="13" spans="1:9" x14ac:dyDescent="0.35">
      <c r="A13" t="s">
        <v>271</v>
      </c>
      <c r="B13" t="s">
        <v>272</v>
      </c>
      <c r="C13" t="s">
        <v>230</v>
      </c>
      <c r="D13" t="s">
        <v>28</v>
      </c>
      <c r="E13" t="s">
        <v>148</v>
      </c>
      <c r="F13">
        <v>267549</v>
      </c>
      <c r="G13" s="3">
        <v>45629</v>
      </c>
      <c r="H13" t="s">
        <v>182</v>
      </c>
      <c r="I13" s="4">
        <v>46127.974039351851</v>
      </c>
    </row>
    <row r="14" spans="1:9" x14ac:dyDescent="0.35">
      <c r="A14" t="s">
        <v>211</v>
      </c>
      <c r="B14" t="s">
        <v>212</v>
      </c>
      <c r="C14" t="s">
        <v>194</v>
      </c>
      <c r="D14" t="s">
        <v>28</v>
      </c>
      <c r="E14" t="s">
        <v>64</v>
      </c>
      <c r="F14">
        <v>251785</v>
      </c>
      <c r="G14" s="3">
        <v>45569</v>
      </c>
      <c r="H14" t="s">
        <v>195</v>
      </c>
      <c r="I14" s="4">
        <v>46127.974039351851</v>
      </c>
    </row>
    <row r="15" spans="1:9" x14ac:dyDescent="0.35">
      <c r="A15" t="s">
        <v>258</v>
      </c>
      <c r="B15" t="s">
        <v>232</v>
      </c>
      <c r="C15" t="s">
        <v>243</v>
      </c>
      <c r="D15" t="s">
        <v>28</v>
      </c>
      <c r="E15" t="s">
        <v>64</v>
      </c>
      <c r="F15">
        <v>101874</v>
      </c>
      <c r="G15" s="3">
        <v>45711</v>
      </c>
      <c r="H15" t="s">
        <v>195</v>
      </c>
      <c r="I15" s="4">
        <v>46127.974039351851</v>
      </c>
    </row>
    <row r="16" spans="1:9" x14ac:dyDescent="0.35">
      <c r="A16" t="s">
        <v>254</v>
      </c>
      <c r="B16" t="s">
        <v>255</v>
      </c>
      <c r="C16" t="s">
        <v>181</v>
      </c>
      <c r="D16" t="s">
        <v>28</v>
      </c>
      <c r="E16" t="s">
        <v>150</v>
      </c>
      <c r="F16">
        <v>435196</v>
      </c>
      <c r="G16" s="3">
        <v>45435</v>
      </c>
      <c r="H16" t="s">
        <v>182</v>
      </c>
      <c r="I16" s="4">
        <v>46127.974039351851</v>
      </c>
    </row>
    <row r="17" spans="1:9" x14ac:dyDescent="0.35">
      <c r="A17" t="s">
        <v>244</v>
      </c>
      <c r="B17" t="s">
        <v>190</v>
      </c>
      <c r="C17" t="s">
        <v>245</v>
      </c>
      <c r="D17" t="s">
        <v>28</v>
      </c>
      <c r="E17" t="s">
        <v>97</v>
      </c>
      <c r="F17">
        <v>147694</v>
      </c>
      <c r="G17" s="3">
        <v>45705</v>
      </c>
      <c r="H17" t="s">
        <v>182</v>
      </c>
      <c r="I17" s="4">
        <v>46127.974039351851</v>
      </c>
    </row>
    <row r="18" spans="1:9" x14ac:dyDescent="0.35">
      <c r="A18" t="s">
        <v>241</v>
      </c>
      <c r="B18" t="s">
        <v>222</v>
      </c>
      <c r="C18" t="s">
        <v>181</v>
      </c>
      <c r="D18" t="s">
        <v>28</v>
      </c>
      <c r="E18" t="s">
        <v>168</v>
      </c>
      <c r="F18">
        <v>447797</v>
      </c>
      <c r="G18" s="3">
        <v>45671</v>
      </c>
      <c r="H18" t="s">
        <v>195</v>
      </c>
      <c r="I18" s="4">
        <v>46127.974039351851</v>
      </c>
    </row>
    <row r="19" spans="1:9" x14ac:dyDescent="0.35">
      <c r="A19" t="s">
        <v>221</v>
      </c>
      <c r="B19" t="s">
        <v>222</v>
      </c>
      <c r="C19" t="s">
        <v>210</v>
      </c>
      <c r="D19" t="s">
        <v>28</v>
      </c>
      <c r="E19" t="s">
        <v>102</v>
      </c>
      <c r="F19">
        <v>407795</v>
      </c>
      <c r="G19" s="3">
        <v>45487</v>
      </c>
      <c r="H19" t="s">
        <v>195</v>
      </c>
      <c r="I19" s="4">
        <v>46127.974039351851</v>
      </c>
    </row>
    <row r="20" spans="1:9" x14ac:dyDescent="0.35">
      <c r="A20" t="s">
        <v>223</v>
      </c>
      <c r="B20" t="s">
        <v>224</v>
      </c>
      <c r="C20" t="s">
        <v>225</v>
      </c>
      <c r="D20" t="s">
        <v>28</v>
      </c>
      <c r="E20" t="s">
        <v>161</v>
      </c>
      <c r="F20">
        <v>203875</v>
      </c>
      <c r="G20" s="3">
        <v>45593</v>
      </c>
      <c r="H20" t="s">
        <v>188</v>
      </c>
      <c r="I20" s="4">
        <v>46127.974039351851</v>
      </c>
    </row>
    <row r="21" spans="1:9" x14ac:dyDescent="0.35">
      <c r="A21" t="s">
        <v>239</v>
      </c>
      <c r="B21" t="s">
        <v>222</v>
      </c>
      <c r="C21" t="s">
        <v>240</v>
      </c>
      <c r="D21" t="s">
        <v>28</v>
      </c>
      <c r="E21" t="s">
        <v>159</v>
      </c>
      <c r="F21">
        <v>119864</v>
      </c>
      <c r="G21" s="3">
        <v>45414</v>
      </c>
      <c r="H21" t="s">
        <v>188</v>
      </c>
      <c r="I21" s="4">
        <v>46127.974039351851</v>
      </c>
    </row>
    <row r="22" spans="1:9" x14ac:dyDescent="0.35">
      <c r="A22" t="s">
        <v>234</v>
      </c>
      <c r="B22" t="s">
        <v>235</v>
      </c>
      <c r="C22" t="s">
        <v>236</v>
      </c>
      <c r="D22" t="s">
        <v>28</v>
      </c>
      <c r="E22" t="s">
        <v>85</v>
      </c>
      <c r="F22">
        <v>111298</v>
      </c>
      <c r="G22" s="3">
        <v>45968</v>
      </c>
      <c r="H22" t="s">
        <v>195</v>
      </c>
      <c r="I22" s="4">
        <v>46127.974039351851</v>
      </c>
    </row>
    <row r="23" spans="1:9" x14ac:dyDescent="0.35">
      <c r="A23" t="s">
        <v>231</v>
      </c>
      <c r="B23" t="s">
        <v>232</v>
      </c>
      <c r="C23" t="s">
        <v>233</v>
      </c>
      <c r="D23" t="s">
        <v>28</v>
      </c>
      <c r="E23" t="s">
        <v>108</v>
      </c>
      <c r="F23">
        <v>295411</v>
      </c>
      <c r="G23" s="3">
        <v>45456</v>
      </c>
      <c r="H23" t="s">
        <v>195</v>
      </c>
      <c r="I23" s="4">
        <v>46127.974039351851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AF3B-80CC-492A-AADB-63BD0301EE76}">
  <sheetPr codeName="Sheet19"/>
  <dimension ref="A1:I20"/>
  <sheetViews>
    <sheetView workbookViewId="0">
      <selection activeCell="A3" sqref="A3:I20"/>
    </sheetView>
  </sheetViews>
  <sheetFormatPr defaultRowHeight="14.5" x14ac:dyDescent="0.35"/>
  <cols>
    <col min="1" max="2" width="14.1796875" bestFit="1" customWidth="1"/>
    <col min="3" max="3" width="33.453125" bestFit="1" customWidth="1"/>
    <col min="4" max="4" width="17.45312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1002</v>
      </c>
    </row>
    <row r="3" spans="1:9" x14ac:dyDescent="0.35">
      <c r="A3" t="s">
        <v>171</v>
      </c>
      <c r="B3" t="s">
        <v>172</v>
      </c>
      <c r="C3" t="s">
        <v>173</v>
      </c>
      <c r="D3" t="s">
        <v>174</v>
      </c>
      <c r="E3" t="s">
        <v>175</v>
      </c>
      <c r="F3" t="s">
        <v>176</v>
      </c>
      <c r="G3" t="s">
        <v>177</v>
      </c>
      <c r="H3" t="s">
        <v>178</v>
      </c>
      <c r="I3" t="s">
        <v>56</v>
      </c>
    </row>
    <row r="4" spans="1:9" x14ac:dyDescent="0.35">
      <c r="A4" t="s">
        <v>404</v>
      </c>
      <c r="B4" t="s">
        <v>257</v>
      </c>
      <c r="C4" t="s">
        <v>233</v>
      </c>
      <c r="D4" t="s">
        <v>30</v>
      </c>
      <c r="E4" t="s">
        <v>70</v>
      </c>
      <c r="F4">
        <v>487303</v>
      </c>
      <c r="G4" s="3">
        <v>45610</v>
      </c>
      <c r="H4" t="s">
        <v>188</v>
      </c>
      <c r="I4" s="4">
        <v>46127.974039351851</v>
      </c>
    </row>
    <row r="5" spans="1:9" x14ac:dyDescent="0.35">
      <c r="A5" t="s">
        <v>397</v>
      </c>
      <c r="B5" t="s">
        <v>398</v>
      </c>
      <c r="C5" t="s">
        <v>353</v>
      </c>
      <c r="D5" t="s">
        <v>30</v>
      </c>
      <c r="E5" t="s">
        <v>81</v>
      </c>
      <c r="F5">
        <v>278367</v>
      </c>
      <c r="G5" s="3">
        <v>45740</v>
      </c>
      <c r="H5" t="s">
        <v>195</v>
      </c>
      <c r="I5" s="4">
        <v>46127.974039351851</v>
      </c>
    </row>
    <row r="6" spans="1:9" x14ac:dyDescent="0.35">
      <c r="A6" t="s">
        <v>383</v>
      </c>
      <c r="B6" t="s">
        <v>384</v>
      </c>
      <c r="C6" t="s">
        <v>233</v>
      </c>
      <c r="D6" t="s">
        <v>30</v>
      </c>
      <c r="E6" t="s">
        <v>159</v>
      </c>
      <c r="F6">
        <v>381376</v>
      </c>
      <c r="G6" s="3">
        <v>45893</v>
      </c>
      <c r="H6" t="s">
        <v>195</v>
      </c>
      <c r="I6" s="4">
        <v>46127.974039351851</v>
      </c>
    </row>
    <row r="7" spans="1:9" x14ac:dyDescent="0.35">
      <c r="A7" t="s">
        <v>367</v>
      </c>
      <c r="B7" t="s">
        <v>368</v>
      </c>
      <c r="C7" t="s">
        <v>369</v>
      </c>
      <c r="D7" t="s">
        <v>30</v>
      </c>
      <c r="E7" t="s">
        <v>160</v>
      </c>
      <c r="F7">
        <v>244084</v>
      </c>
      <c r="G7" s="3">
        <v>45465</v>
      </c>
      <c r="H7" t="s">
        <v>195</v>
      </c>
      <c r="I7" s="4">
        <v>46127.974039351851</v>
      </c>
    </row>
    <row r="8" spans="1:9" x14ac:dyDescent="0.35">
      <c r="A8" t="s">
        <v>365</v>
      </c>
      <c r="B8" t="s">
        <v>366</v>
      </c>
      <c r="C8" t="s">
        <v>243</v>
      </c>
      <c r="D8" t="s">
        <v>30</v>
      </c>
      <c r="E8" t="s">
        <v>79</v>
      </c>
      <c r="F8">
        <v>160642</v>
      </c>
      <c r="G8" s="3">
        <v>45390</v>
      </c>
      <c r="H8" t="s">
        <v>188</v>
      </c>
      <c r="I8" s="4">
        <v>46127.974039351851</v>
      </c>
    </row>
    <row r="9" spans="1:9" x14ac:dyDescent="0.35">
      <c r="A9" t="s">
        <v>358</v>
      </c>
      <c r="B9" t="s">
        <v>359</v>
      </c>
      <c r="C9" t="s">
        <v>322</v>
      </c>
      <c r="D9" t="s">
        <v>30</v>
      </c>
      <c r="E9" t="s">
        <v>138</v>
      </c>
      <c r="F9">
        <v>420090</v>
      </c>
      <c r="G9" s="3">
        <v>45929</v>
      </c>
      <c r="H9" t="s">
        <v>195</v>
      </c>
      <c r="I9" s="4">
        <v>46127.974039351851</v>
      </c>
    </row>
    <row r="10" spans="1:9" x14ac:dyDescent="0.35">
      <c r="A10" t="s">
        <v>349</v>
      </c>
      <c r="B10" t="s">
        <v>350</v>
      </c>
      <c r="C10" t="s">
        <v>201</v>
      </c>
      <c r="D10" t="s">
        <v>30</v>
      </c>
      <c r="E10" t="s">
        <v>101</v>
      </c>
      <c r="F10">
        <v>88839</v>
      </c>
      <c r="G10" s="3">
        <v>45888</v>
      </c>
      <c r="H10" t="s">
        <v>182</v>
      </c>
      <c r="I10" s="4">
        <v>46127.974039351851</v>
      </c>
    </row>
    <row r="11" spans="1:9" x14ac:dyDescent="0.35">
      <c r="A11" t="s">
        <v>344</v>
      </c>
      <c r="B11" t="s">
        <v>257</v>
      </c>
      <c r="C11" t="s">
        <v>245</v>
      </c>
      <c r="D11" t="s">
        <v>30</v>
      </c>
      <c r="E11" t="s">
        <v>98</v>
      </c>
      <c r="F11">
        <v>395017</v>
      </c>
      <c r="G11" s="3">
        <v>45749</v>
      </c>
      <c r="H11" t="s">
        <v>182</v>
      </c>
      <c r="I11" s="4">
        <v>46127.974039351851</v>
      </c>
    </row>
    <row r="12" spans="1:9" x14ac:dyDescent="0.35">
      <c r="A12" t="s">
        <v>339</v>
      </c>
      <c r="B12" t="s">
        <v>340</v>
      </c>
      <c r="C12" t="s">
        <v>248</v>
      </c>
      <c r="D12" t="s">
        <v>30</v>
      </c>
      <c r="E12" t="s">
        <v>155</v>
      </c>
      <c r="F12">
        <v>94757</v>
      </c>
      <c r="G12" s="3">
        <v>45679</v>
      </c>
      <c r="H12" t="s">
        <v>195</v>
      </c>
      <c r="I12" s="4">
        <v>46127.974039351851</v>
      </c>
    </row>
    <row r="13" spans="1:9" x14ac:dyDescent="0.35">
      <c r="A13" t="s">
        <v>311</v>
      </c>
      <c r="B13" t="s">
        <v>312</v>
      </c>
      <c r="C13" t="s">
        <v>230</v>
      </c>
      <c r="D13" t="s">
        <v>30</v>
      </c>
      <c r="E13" t="s">
        <v>81</v>
      </c>
      <c r="F13">
        <v>374575</v>
      </c>
      <c r="G13" s="3">
        <v>45480</v>
      </c>
      <c r="H13" t="s">
        <v>182</v>
      </c>
      <c r="I13" s="4">
        <v>46127.974039351851</v>
      </c>
    </row>
    <row r="14" spans="1:9" x14ac:dyDescent="0.35">
      <c r="A14" t="s">
        <v>296</v>
      </c>
      <c r="B14" t="s">
        <v>297</v>
      </c>
      <c r="C14" t="s">
        <v>191</v>
      </c>
      <c r="D14" t="s">
        <v>30</v>
      </c>
      <c r="E14" t="s">
        <v>162</v>
      </c>
      <c r="F14">
        <v>490578</v>
      </c>
      <c r="G14" s="3">
        <v>45615</v>
      </c>
      <c r="H14" t="s">
        <v>182</v>
      </c>
      <c r="I14" s="4">
        <v>46127.974039351851</v>
      </c>
    </row>
    <row r="15" spans="1:9" x14ac:dyDescent="0.35">
      <c r="A15" t="s">
        <v>288</v>
      </c>
      <c r="B15" t="s">
        <v>289</v>
      </c>
      <c r="C15" t="s">
        <v>279</v>
      </c>
      <c r="D15" t="s">
        <v>30</v>
      </c>
      <c r="E15" t="s">
        <v>112</v>
      </c>
      <c r="F15">
        <v>297298</v>
      </c>
      <c r="G15" s="3">
        <v>45768</v>
      </c>
      <c r="H15" t="s">
        <v>188</v>
      </c>
      <c r="I15" s="4">
        <v>46127.974039351851</v>
      </c>
    </row>
    <row r="16" spans="1:9" x14ac:dyDescent="0.35">
      <c r="A16" t="s">
        <v>280</v>
      </c>
      <c r="B16" t="s">
        <v>281</v>
      </c>
      <c r="C16" t="s">
        <v>187</v>
      </c>
      <c r="D16" t="s">
        <v>30</v>
      </c>
      <c r="E16" t="s">
        <v>166</v>
      </c>
      <c r="F16">
        <v>165663</v>
      </c>
      <c r="G16" s="3">
        <v>46008</v>
      </c>
      <c r="H16" t="s">
        <v>182</v>
      </c>
      <c r="I16" s="4">
        <v>46127.974039351851</v>
      </c>
    </row>
    <row r="17" spans="1:9" x14ac:dyDescent="0.35">
      <c r="A17" t="s">
        <v>275</v>
      </c>
      <c r="B17" t="s">
        <v>276</v>
      </c>
      <c r="C17" t="s">
        <v>187</v>
      </c>
      <c r="D17" t="s">
        <v>30</v>
      </c>
      <c r="E17" t="s">
        <v>149</v>
      </c>
      <c r="F17">
        <v>129799</v>
      </c>
      <c r="G17" s="3">
        <v>46008</v>
      </c>
      <c r="H17" t="s">
        <v>188</v>
      </c>
      <c r="I17" s="4">
        <v>46127.974039351851</v>
      </c>
    </row>
    <row r="18" spans="1:9" x14ac:dyDescent="0.35">
      <c r="A18" t="s">
        <v>219</v>
      </c>
      <c r="B18" t="s">
        <v>220</v>
      </c>
      <c r="C18" t="s">
        <v>194</v>
      </c>
      <c r="D18" t="s">
        <v>30</v>
      </c>
      <c r="E18" t="s">
        <v>72</v>
      </c>
      <c r="F18">
        <v>97989</v>
      </c>
      <c r="G18" s="3">
        <v>45949</v>
      </c>
      <c r="H18" t="s">
        <v>195</v>
      </c>
      <c r="I18" s="4">
        <v>46127.974039351851</v>
      </c>
    </row>
    <row r="19" spans="1:9" x14ac:dyDescent="0.35">
      <c r="A19" t="s">
        <v>256</v>
      </c>
      <c r="B19" t="s">
        <v>257</v>
      </c>
      <c r="C19" t="s">
        <v>194</v>
      </c>
      <c r="D19" t="s">
        <v>30</v>
      </c>
      <c r="E19" t="s">
        <v>62</v>
      </c>
      <c r="F19">
        <v>359382</v>
      </c>
      <c r="G19" s="3">
        <v>46022</v>
      </c>
      <c r="H19" t="s">
        <v>188</v>
      </c>
      <c r="I19" s="4">
        <v>46127.974039351851</v>
      </c>
    </row>
    <row r="20" spans="1:9" x14ac:dyDescent="0.35">
      <c r="A20" t="s">
        <v>228</v>
      </c>
      <c r="B20" t="s">
        <v>229</v>
      </c>
      <c r="C20" t="s">
        <v>230</v>
      </c>
      <c r="D20" t="s">
        <v>30</v>
      </c>
      <c r="E20" t="s">
        <v>73</v>
      </c>
      <c r="F20">
        <v>111307</v>
      </c>
      <c r="G20" s="3">
        <v>45418</v>
      </c>
      <c r="H20" t="s">
        <v>188</v>
      </c>
      <c r="I20" s="4">
        <v>46127.974039351851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F38-E947-4385-86C3-8BCDCEC39E7A}">
  <sheetPr codeName="Sheet20"/>
  <dimension ref="A1:I123"/>
  <sheetViews>
    <sheetView workbookViewId="0">
      <selection activeCell="A24" sqref="A24"/>
    </sheetView>
  </sheetViews>
  <sheetFormatPr defaultRowHeight="14.5" x14ac:dyDescent="0.35"/>
  <cols>
    <col min="1" max="2" width="14.1796875" bestFit="1" customWidth="1"/>
    <col min="3" max="3" width="36" bestFit="1" customWidth="1"/>
    <col min="4" max="4" width="25.632812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1003</v>
      </c>
    </row>
    <row r="3" spans="1:9" x14ac:dyDescent="0.35">
      <c r="A3" t="s">
        <v>171</v>
      </c>
      <c r="B3" t="s">
        <v>172</v>
      </c>
      <c r="C3" t="s">
        <v>173</v>
      </c>
      <c r="D3" t="s">
        <v>174</v>
      </c>
      <c r="E3" t="s">
        <v>175</v>
      </c>
      <c r="F3" t="s">
        <v>176</v>
      </c>
      <c r="G3" t="s">
        <v>177</v>
      </c>
      <c r="H3" t="s">
        <v>178</v>
      </c>
      <c r="I3" t="s">
        <v>56</v>
      </c>
    </row>
    <row r="4" spans="1:9" x14ac:dyDescent="0.35">
      <c r="A4" t="s">
        <v>179</v>
      </c>
      <c r="B4" t="s">
        <v>180</v>
      </c>
      <c r="C4" t="s">
        <v>181</v>
      </c>
      <c r="D4" t="s">
        <v>26</v>
      </c>
      <c r="E4" t="s">
        <v>127</v>
      </c>
      <c r="F4">
        <v>104705</v>
      </c>
      <c r="G4" s="3">
        <v>46054</v>
      </c>
      <c r="H4" t="s">
        <v>182</v>
      </c>
      <c r="I4" s="4">
        <v>46127.974039351851</v>
      </c>
    </row>
    <row r="5" spans="1:9" x14ac:dyDescent="0.35">
      <c r="A5" t="s">
        <v>185</v>
      </c>
      <c r="B5" t="s">
        <v>186</v>
      </c>
      <c r="C5" t="s">
        <v>187</v>
      </c>
      <c r="D5" t="s">
        <v>26</v>
      </c>
      <c r="E5" t="s">
        <v>148</v>
      </c>
      <c r="F5">
        <v>248220</v>
      </c>
      <c r="G5" s="3">
        <v>45818</v>
      </c>
      <c r="H5" t="s">
        <v>188</v>
      </c>
      <c r="I5" s="4">
        <v>46127.974039351851</v>
      </c>
    </row>
    <row r="6" spans="1:9" x14ac:dyDescent="0.35">
      <c r="A6" t="s">
        <v>202</v>
      </c>
      <c r="B6" t="s">
        <v>203</v>
      </c>
      <c r="C6" t="s">
        <v>204</v>
      </c>
      <c r="D6" t="s">
        <v>26</v>
      </c>
      <c r="E6" t="s">
        <v>158</v>
      </c>
      <c r="F6">
        <v>114374</v>
      </c>
      <c r="G6" s="3">
        <v>45654</v>
      </c>
      <c r="H6" t="s">
        <v>182</v>
      </c>
      <c r="I6" s="4">
        <v>46127.974039351851</v>
      </c>
    </row>
    <row r="7" spans="1:9" x14ac:dyDescent="0.35">
      <c r="A7" t="s">
        <v>213</v>
      </c>
      <c r="B7" t="s">
        <v>214</v>
      </c>
      <c r="C7" t="s">
        <v>198</v>
      </c>
      <c r="D7" t="s">
        <v>26</v>
      </c>
      <c r="E7" t="s">
        <v>72</v>
      </c>
      <c r="F7">
        <v>456824</v>
      </c>
      <c r="G7" s="3">
        <v>45789</v>
      </c>
      <c r="H7" t="s">
        <v>182</v>
      </c>
      <c r="I7" s="4">
        <v>46127.974039351851</v>
      </c>
    </row>
    <row r="8" spans="1:9" x14ac:dyDescent="0.35">
      <c r="A8" t="s">
        <v>237</v>
      </c>
      <c r="B8" t="s">
        <v>238</v>
      </c>
      <c r="C8" t="s">
        <v>181</v>
      </c>
      <c r="D8" t="s">
        <v>26</v>
      </c>
      <c r="E8" t="s">
        <v>87</v>
      </c>
      <c r="F8">
        <v>364875</v>
      </c>
      <c r="G8" s="3">
        <v>45739</v>
      </c>
      <c r="H8" t="s">
        <v>195</v>
      </c>
      <c r="I8" s="4">
        <v>46127.974039351851</v>
      </c>
    </row>
    <row r="9" spans="1:9" x14ac:dyDescent="0.35">
      <c r="A9" t="s">
        <v>251</v>
      </c>
      <c r="B9" t="s">
        <v>180</v>
      </c>
      <c r="C9" t="s">
        <v>230</v>
      </c>
      <c r="D9" t="s">
        <v>26</v>
      </c>
      <c r="E9" t="s">
        <v>120</v>
      </c>
      <c r="F9">
        <v>232172</v>
      </c>
      <c r="G9" s="3">
        <v>46049</v>
      </c>
      <c r="H9" t="s">
        <v>188</v>
      </c>
      <c r="I9" s="4">
        <v>46127.974039351851</v>
      </c>
    </row>
    <row r="10" spans="1:9" x14ac:dyDescent="0.35">
      <c r="A10" t="s">
        <v>252</v>
      </c>
      <c r="B10" t="s">
        <v>253</v>
      </c>
      <c r="C10" t="s">
        <v>191</v>
      </c>
      <c r="D10" t="s">
        <v>26</v>
      </c>
      <c r="E10" t="s">
        <v>68</v>
      </c>
      <c r="F10">
        <v>437471</v>
      </c>
      <c r="G10" s="3">
        <v>45518</v>
      </c>
      <c r="H10" t="s">
        <v>195</v>
      </c>
      <c r="I10" s="4">
        <v>46127.974039351851</v>
      </c>
    </row>
    <row r="11" spans="1:9" x14ac:dyDescent="0.35">
      <c r="A11" t="s">
        <v>269</v>
      </c>
      <c r="B11" t="s">
        <v>270</v>
      </c>
      <c r="C11" t="s">
        <v>207</v>
      </c>
      <c r="D11" t="s">
        <v>26</v>
      </c>
      <c r="E11" t="s">
        <v>72</v>
      </c>
      <c r="F11">
        <v>168986</v>
      </c>
      <c r="G11" s="3">
        <v>45829</v>
      </c>
      <c r="H11" t="s">
        <v>182</v>
      </c>
      <c r="I11" s="4">
        <v>46127.974039351851</v>
      </c>
    </row>
    <row r="12" spans="1:9" x14ac:dyDescent="0.35">
      <c r="A12" t="s">
        <v>277</v>
      </c>
      <c r="B12" t="s">
        <v>278</v>
      </c>
      <c r="C12" t="s">
        <v>279</v>
      </c>
      <c r="D12" t="s">
        <v>26</v>
      </c>
      <c r="E12" t="s">
        <v>104</v>
      </c>
      <c r="F12">
        <v>75614</v>
      </c>
      <c r="G12" s="3">
        <v>45926</v>
      </c>
      <c r="H12" t="s">
        <v>188</v>
      </c>
      <c r="I12" s="4">
        <v>46127.974039351851</v>
      </c>
    </row>
    <row r="13" spans="1:9" x14ac:dyDescent="0.35">
      <c r="A13" t="s">
        <v>290</v>
      </c>
      <c r="B13" t="s">
        <v>291</v>
      </c>
      <c r="C13" t="s">
        <v>266</v>
      </c>
      <c r="D13" t="s">
        <v>26</v>
      </c>
      <c r="E13" t="s">
        <v>57</v>
      </c>
      <c r="F13">
        <v>298701</v>
      </c>
      <c r="G13" s="3">
        <v>45678</v>
      </c>
      <c r="H13" t="s">
        <v>195</v>
      </c>
      <c r="I13" s="4">
        <v>46127.974039351851</v>
      </c>
    </row>
    <row r="14" spans="1:9" x14ac:dyDescent="0.35">
      <c r="A14" t="s">
        <v>292</v>
      </c>
      <c r="B14" t="s">
        <v>293</v>
      </c>
      <c r="C14" t="s">
        <v>207</v>
      </c>
      <c r="D14" t="s">
        <v>26</v>
      </c>
      <c r="E14" t="s">
        <v>136</v>
      </c>
      <c r="F14">
        <v>475100</v>
      </c>
      <c r="G14" s="3">
        <v>45887</v>
      </c>
      <c r="H14" t="s">
        <v>188</v>
      </c>
      <c r="I14" s="4">
        <v>46127.974039351851</v>
      </c>
    </row>
    <row r="15" spans="1:9" x14ac:dyDescent="0.35">
      <c r="A15" t="s">
        <v>305</v>
      </c>
      <c r="B15" t="s">
        <v>238</v>
      </c>
      <c r="C15" t="s">
        <v>279</v>
      </c>
      <c r="D15" t="s">
        <v>26</v>
      </c>
      <c r="E15" t="s">
        <v>91</v>
      </c>
      <c r="F15">
        <v>73629</v>
      </c>
      <c r="G15" s="3">
        <v>45526</v>
      </c>
      <c r="H15" t="s">
        <v>188</v>
      </c>
      <c r="I15" s="4">
        <v>46127.974039351851</v>
      </c>
    </row>
    <row r="16" spans="1:9" x14ac:dyDescent="0.35">
      <c r="A16" t="s">
        <v>313</v>
      </c>
      <c r="B16" t="s">
        <v>314</v>
      </c>
      <c r="C16" t="s">
        <v>240</v>
      </c>
      <c r="D16" t="s">
        <v>26</v>
      </c>
      <c r="E16" t="s">
        <v>114</v>
      </c>
      <c r="F16">
        <v>87740</v>
      </c>
      <c r="G16" s="3">
        <v>45816</v>
      </c>
      <c r="H16" t="s">
        <v>195</v>
      </c>
      <c r="I16" s="4">
        <v>46127.974039351851</v>
      </c>
    </row>
    <row r="17" spans="1:9" x14ac:dyDescent="0.35">
      <c r="A17" t="s">
        <v>315</v>
      </c>
      <c r="B17" t="s">
        <v>316</v>
      </c>
      <c r="C17" t="s">
        <v>266</v>
      </c>
      <c r="D17" t="s">
        <v>26</v>
      </c>
      <c r="E17" t="s">
        <v>75</v>
      </c>
      <c r="F17">
        <v>381173</v>
      </c>
      <c r="G17" s="3">
        <v>46036</v>
      </c>
      <c r="H17" t="s">
        <v>195</v>
      </c>
      <c r="I17" s="4">
        <v>46127.974039351851</v>
      </c>
    </row>
    <row r="18" spans="1:9" x14ac:dyDescent="0.35">
      <c r="A18" t="s">
        <v>327</v>
      </c>
      <c r="B18" t="s">
        <v>328</v>
      </c>
      <c r="C18" t="s">
        <v>233</v>
      </c>
      <c r="D18" t="s">
        <v>26</v>
      </c>
      <c r="E18" t="s">
        <v>165</v>
      </c>
      <c r="F18">
        <v>442654</v>
      </c>
      <c r="G18" s="3">
        <v>45422</v>
      </c>
      <c r="H18" t="s">
        <v>195</v>
      </c>
      <c r="I18" s="4">
        <v>46127.974039351851</v>
      </c>
    </row>
    <row r="19" spans="1:9" x14ac:dyDescent="0.35">
      <c r="A19" t="s">
        <v>363</v>
      </c>
      <c r="B19" t="s">
        <v>364</v>
      </c>
      <c r="C19" t="s">
        <v>194</v>
      </c>
      <c r="D19" t="s">
        <v>26</v>
      </c>
      <c r="E19" t="s">
        <v>85</v>
      </c>
      <c r="F19">
        <v>144773</v>
      </c>
      <c r="G19" s="3">
        <v>45872</v>
      </c>
      <c r="H19" t="s">
        <v>195</v>
      </c>
      <c r="I19" s="4">
        <v>46127.974039351851</v>
      </c>
    </row>
    <row r="20" spans="1:9" x14ac:dyDescent="0.35">
      <c r="A20" t="s">
        <v>387</v>
      </c>
      <c r="B20" t="s">
        <v>388</v>
      </c>
      <c r="C20" t="s">
        <v>389</v>
      </c>
      <c r="D20" t="s">
        <v>26</v>
      </c>
      <c r="E20" t="s">
        <v>127</v>
      </c>
      <c r="F20">
        <v>55791</v>
      </c>
      <c r="G20" s="3">
        <v>45952</v>
      </c>
      <c r="H20" t="s">
        <v>188</v>
      </c>
      <c r="I20" s="4">
        <v>46127.974039351851</v>
      </c>
    </row>
    <row r="21" spans="1:9" x14ac:dyDescent="0.35">
      <c r="A21" t="s">
        <v>406</v>
      </c>
      <c r="B21" t="s">
        <v>203</v>
      </c>
      <c r="C21" t="s">
        <v>225</v>
      </c>
      <c r="D21" t="s">
        <v>26</v>
      </c>
      <c r="E21" t="s">
        <v>125</v>
      </c>
      <c r="F21">
        <v>228657</v>
      </c>
      <c r="G21" s="3">
        <v>45529</v>
      </c>
      <c r="H21" t="s">
        <v>188</v>
      </c>
      <c r="I21" s="4">
        <v>46127.974039351851</v>
      </c>
    </row>
    <row r="22" spans="1:9" x14ac:dyDescent="0.35">
      <c r="A22" t="s">
        <v>407</v>
      </c>
      <c r="B22" t="s">
        <v>270</v>
      </c>
      <c r="C22" t="s">
        <v>240</v>
      </c>
      <c r="D22" t="s">
        <v>26</v>
      </c>
      <c r="E22" t="s">
        <v>140</v>
      </c>
      <c r="F22">
        <v>412243</v>
      </c>
      <c r="G22" s="3">
        <v>45609</v>
      </c>
      <c r="H22" t="s">
        <v>195</v>
      </c>
      <c r="I22" s="4">
        <v>46127.974039351851</v>
      </c>
    </row>
    <row r="23" spans="1:9" x14ac:dyDescent="0.35">
      <c r="A23" t="s">
        <v>412</v>
      </c>
      <c r="B23" t="s">
        <v>413</v>
      </c>
      <c r="C23" t="s">
        <v>187</v>
      </c>
      <c r="D23" t="s">
        <v>26</v>
      </c>
      <c r="E23" t="s">
        <v>93</v>
      </c>
      <c r="F23">
        <v>190217</v>
      </c>
      <c r="G23" s="3">
        <v>45501</v>
      </c>
      <c r="H23" t="s">
        <v>182</v>
      </c>
      <c r="I23" s="4">
        <v>46127.974039351851</v>
      </c>
    </row>
    <row r="24" spans="1:9" x14ac:dyDescent="0.35">
      <c r="A24" t="s">
        <v>183</v>
      </c>
      <c r="B24" t="s">
        <v>184</v>
      </c>
      <c r="C24" t="s">
        <v>181</v>
      </c>
      <c r="D24" t="s">
        <v>27</v>
      </c>
      <c r="E24" t="s">
        <v>144</v>
      </c>
      <c r="F24">
        <v>70776</v>
      </c>
      <c r="G24" s="3">
        <v>45890</v>
      </c>
      <c r="H24" t="s">
        <v>182</v>
      </c>
      <c r="I24" s="4">
        <v>46127.974039351851</v>
      </c>
    </row>
    <row r="25" spans="1:9" x14ac:dyDescent="0.35">
      <c r="A25" t="s">
        <v>192</v>
      </c>
      <c r="B25" t="s">
        <v>193</v>
      </c>
      <c r="C25" t="s">
        <v>194</v>
      </c>
      <c r="D25" t="s">
        <v>27</v>
      </c>
      <c r="E25" t="s">
        <v>68</v>
      </c>
      <c r="F25">
        <v>156170</v>
      </c>
      <c r="G25" s="3">
        <v>45600</v>
      </c>
      <c r="H25" t="s">
        <v>195</v>
      </c>
      <c r="I25" s="4">
        <v>46127.974039351851</v>
      </c>
    </row>
    <row r="26" spans="1:9" x14ac:dyDescent="0.35">
      <c r="A26" t="s">
        <v>199</v>
      </c>
      <c r="B26" t="s">
        <v>200</v>
      </c>
      <c r="C26" t="s">
        <v>201</v>
      </c>
      <c r="D26" t="s">
        <v>27</v>
      </c>
      <c r="E26" t="s">
        <v>87</v>
      </c>
      <c r="F26">
        <v>244570</v>
      </c>
      <c r="G26" s="3">
        <v>45761</v>
      </c>
      <c r="H26" t="s">
        <v>182</v>
      </c>
      <c r="I26" s="4">
        <v>46127.974039351851</v>
      </c>
    </row>
    <row r="27" spans="1:9" x14ac:dyDescent="0.35">
      <c r="A27" t="s">
        <v>246</v>
      </c>
      <c r="B27" t="s">
        <v>247</v>
      </c>
      <c r="C27" t="s">
        <v>248</v>
      </c>
      <c r="D27" t="s">
        <v>27</v>
      </c>
      <c r="E27" t="s">
        <v>83</v>
      </c>
      <c r="F27">
        <v>451785</v>
      </c>
      <c r="G27" s="3">
        <v>45914</v>
      </c>
      <c r="H27" t="s">
        <v>188</v>
      </c>
      <c r="I27" s="4">
        <v>46127.974039351851</v>
      </c>
    </row>
    <row r="28" spans="1:9" x14ac:dyDescent="0.35">
      <c r="A28" t="s">
        <v>261</v>
      </c>
      <c r="B28" t="s">
        <v>193</v>
      </c>
      <c r="C28" t="s">
        <v>194</v>
      </c>
      <c r="D28" t="s">
        <v>27</v>
      </c>
      <c r="E28" t="s">
        <v>124</v>
      </c>
      <c r="F28">
        <v>398221</v>
      </c>
      <c r="G28" s="3">
        <v>45414</v>
      </c>
      <c r="H28" t="s">
        <v>188</v>
      </c>
      <c r="I28" s="4">
        <v>46127.974039351851</v>
      </c>
    </row>
    <row r="29" spans="1:9" x14ac:dyDescent="0.35">
      <c r="A29" t="s">
        <v>300</v>
      </c>
      <c r="B29" t="s">
        <v>301</v>
      </c>
      <c r="C29" t="s">
        <v>187</v>
      </c>
      <c r="D29" t="s">
        <v>27</v>
      </c>
      <c r="E29" t="s">
        <v>101</v>
      </c>
      <c r="F29">
        <v>197250</v>
      </c>
      <c r="G29" s="3">
        <v>45769</v>
      </c>
      <c r="H29" t="s">
        <v>188</v>
      </c>
      <c r="I29" s="4">
        <v>46127.974039351851</v>
      </c>
    </row>
    <row r="30" spans="1:9" x14ac:dyDescent="0.35">
      <c r="A30" t="s">
        <v>302</v>
      </c>
      <c r="B30" t="s">
        <v>303</v>
      </c>
      <c r="C30" t="s">
        <v>304</v>
      </c>
      <c r="D30" t="s">
        <v>27</v>
      </c>
      <c r="E30" t="s">
        <v>158</v>
      </c>
      <c r="F30">
        <v>391936</v>
      </c>
      <c r="G30" s="3">
        <v>45545</v>
      </c>
      <c r="H30" t="s">
        <v>188</v>
      </c>
      <c r="I30" s="4">
        <v>46127.974039351851</v>
      </c>
    </row>
    <row r="31" spans="1:9" x14ac:dyDescent="0.35">
      <c r="A31" t="s">
        <v>317</v>
      </c>
      <c r="B31" t="s">
        <v>318</v>
      </c>
      <c r="C31" t="s">
        <v>240</v>
      </c>
      <c r="D31" t="s">
        <v>27</v>
      </c>
      <c r="E31" t="s">
        <v>154</v>
      </c>
      <c r="F31">
        <v>131096</v>
      </c>
      <c r="G31" s="3">
        <v>45962</v>
      </c>
      <c r="H31" t="s">
        <v>182</v>
      </c>
      <c r="I31" s="4">
        <v>46127.974039351851</v>
      </c>
    </row>
    <row r="32" spans="1:9" x14ac:dyDescent="0.35">
      <c r="A32" t="s">
        <v>334</v>
      </c>
      <c r="B32" t="s">
        <v>335</v>
      </c>
      <c r="C32" t="s">
        <v>240</v>
      </c>
      <c r="D32" t="s">
        <v>27</v>
      </c>
      <c r="E32" t="s">
        <v>108</v>
      </c>
      <c r="F32">
        <v>366037</v>
      </c>
      <c r="G32" s="3">
        <v>46094</v>
      </c>
      <c r="H32" t="s">
        <v>195</v>
      </c>
      <c r="I32" s="4">
        <v>46127.974039351851</v>
      </c>
    </row>
    <row r="33" spans="1:9" x14ac:dyDescent="0.35">
      <c r="A33" t="s">
        <v>345</v>
      </c>
      <c r="B33" t="s">
        <v>346</v>
      </c>
      <c r="C33" t="s">
        <v>198</v>
      </c>
      <c r="D33" t="s">
        <v>27</v>
      </c>
      <c r="E33" t="s">
        <v>83</v>
      </c>
      <c r="F33">
        <v>489788</v>
      </c>
      <c r="G33" s="3">
        <v>45543</v>
      </c>
      <c r="H33" t="s">
        <v>182</v>
      </c>
      <c r="I33" s="4">
        <v>46127.974039351851</v>
      </c>
    </row>
    <row r="34" spans="1:9" x14ac:dyDescent="0.35">
      <c r="A34" t="s">
        <v>372</v>
      </c>
      <c r="B34" t="s">
        <v>373</v>
      </c>
      <c r="C34" t="s">
        <v>240</v>
      </c>
      <c r="D34" t="s">
        <v>27</v>
      </c>
      <c r="E34" t="s">
        <v>68</v>
      </c>
      <c r="F34">
        <v>501383</v>
      </c>
      <c r="G34" s="3">
        <v>46070</v>
      </c>
      <c r="H34" t="s">
        <v>188</v>
      </c>
      <c r="I34" s="4">
        <v>46127.974039351851</v>
      </c>
    </row>
    <row r="35" spans="1:9" x14ac:dyDescent="0.35">
      <c r="A35" t="s">
        <v>390</v>
      </c>
      <c r="B35" t="s">
        <v>391</v>
      </c>
      <c r="C35" t="s">
        <v>243</v>
      </c>
      <c r="D35" t="s">
        <v>27</v>
      </c>
      <c r="E35" t="s">
        <v>98</v>
      </c>
      <c r="F35">
        <v>119358</v>
      </c>
      <c r="G35" s="3">
        <v>45906</v>
      </c>
      <c r="H35" t="s">
        <v>188</v>
      </c>
      <c r="I35" s="4">
        <v>46127.974039351851</v>
      </c>
    </row>
    <row r="36" spans="1:9" x14ac:dyDescent="0.35">
      <c r="A36" t="s">
        <v>392</v>
      </c>
      <c r="B36" t="s">
        <v>393</v>
      </c>
      <c r="C36" t="s">
        <v>181</v>
      </c>
      <c r="D36" t="s">
        <v>27</v>
      </c>
      <c r="E36" t="s">
        <v>141</v>
      </c>
      <c r="F36">
        <v>405772</v>
      </c>
      <c r="G36" s="3">
        <v>45639</v>
      </c>
      <c r="H36" t="s">
        <v>188</v>
      </c>
      <c r="I36" s="4">
        <v>46127.974039351851</v>
      </c>
    </row>
    <row r="37" spans="1:9" x14ac:dyDescent="0.35">
      <c r="A37" t="s">
        <v>401</v>
      </c>
      <c r="B37" t="s">
        <v>402</v>
      </c>
      <c r="C37" t="s">
        <v>240</v>
      </c>
      <c r="D37" t="s">
        <v>27</v>
      </c>
      <c r="E37" t="s">
        <v>126</v>
      </c>
      <c r="F37">
        <v>309211</v>
      </c>
      <c r="G37" s="3">
        <v>45558</v>
      </c>
      <c r="H37" t="s">
        <v>195</v>
      </c>
      <c r="I37" s="4">
        <v>46127.974039351851</v>
      </c>
    </row>
    <row r="38" spans="1:9" x14ac:dyDescent="0.35">
      <c r="A38" t="s">
        <v>208</v>
      </c>
      <c r="B38" t="s">
        <v>209</v>
      </c>
      <c r="C38" t="s">
        <v>210</v>
      </c>
      <c r="D38" t="s">
        <v>31</v>
      </c>
      <c r="E38" t="s">
        <v>140</v>
      </c>
      <c r="F38">
        <v>276917</v>
      </c>
      <c r="G38" s="3">
        <v>45889</v>
      </c>
      <c r="H38" t="s">
        <v>182</v>
      </c>
      <c r="I38" s="4">
        <v>46127.974039351851</v>
      </c>
    </row>
    <row r="39" spans="1:9" x14ac:dyDescent="0.35">
      <c r="A39" t="s">
        <v>226</v>
      </c>
      <c r="B39" t="s">
        <v>227</v>
      </c>
      <c r="C39" t="s">
        <v>204</v>
      </c>
      <c r="D39" t="s">
        <v>31</v>
      </c>
      <c r="E39" t="s">
        <v>73</v>
      </c>
      <c r="F39">
        <v>260889</v>
      </c>
      <c r="G39" s="3">
        <v>45644</v>
      </c>
      <c r="H39" t="s">
        <v>195</v>
      </c>
      <c r="I39" s="4">
        <v>46127.974039351851</v>
      </c>
    </row>
    <row r="40" spans="1:9" x14ac:dyDescent="0.35">
      <c r="A40" t="s">
        <v>242</v>
      </c>
      <c r="B40" t="s">
        <v>227</v>
      </c>
      <c r="C40" t="s">
        <v>243</v>
      </c>
      <c r="D40" t="s">
        <v>31</v>
      </c>
      <c r="E40" t="s">
        <v>77</v>
      </c>
      <c r="F40">
        <v>178021</v>
      </c>
      <c r="G40" s="3">
        <v>45397</v>
      </c>
      <c r="H40" t="s">
        <v>195</v>
      </c>
      <c r="I40" s="4">
        <v>46127.974039351851</v>
      </c>
    </row>
    <row r="41" spans="1:9" x14ac:dyDescent="0.35">
      <c r="A41" t="s">
        <v>249</v>
      </c>
      <c r="B41" t="s">
        <v>250</v>
      </c>
      <c r="C41" t="s">
        <v>243</v>
      </c>
      <c r="D41" t="s">
        <v>31</v>
      </c>
      <c r="E41" t="s">
        <v>165</v>
      </c>
      <c r="F41">
        <v>193080</v>
      </c>
      <c r="G41" s="3">
        <v>45381</v>
      </c>
      <c r="H41" t="s">
        <v>195</v>
      </c>
      <c r="I41" s="4">
        <v>46127.974039351851</v>
      </c>
    </row>
    <row r="42" spans="1:9" x14ac:dyDescent="0.35">
      <c r="A42" t="s">
        <v>264</v>
      </c>
      <c r="B42" t="s">
        <v>265</v>
      </c>
      <c r="C42" t="s">
        <v>266</v>
      </c>
      <c r="D42" t="s">
        <v>31</v>
      </c>
      <c r="E42" t="s">
        <v>134</v>
      </c>
      <c r="F42">
        <v>115253</v>
      </c>
      <c r="G42" s="3">
        <v>45820</v>
      </c>
      <c r="H42" t="s">
        <v>182</v>
      </c>
      <c r="I42" s="4">
        <v>46127.974039351851</v>
      </c>
    </row>
    <row r="43" spans="1:9" x14ac:dyDescent="0.35">
      <c r="A43" t="s">
        <v>267</v>
      </c>
      <c r="B43" t="s">
        <v>268</v>
      </c>
      <c r="C43" t="s">
        <v>245</v>
      </c>
      <c r="D43" t="s">
        <v>31</v>
      </c>
      <c r="E43" t="s">
        <v>64</v>
      </c>
      <c r="F43">
        <v>350398</v>
      </c>
      <c r="G43" s="3">
        <v>46058</v>
      </c>
      <c r="H43" t="s">
        <v>195</v>
      </c>
      <c r="I43" s="4">
        <v>46127.974039351851</v>
      </c>
    </row>
    <row r="44" spans="1:9" x14ac:dyDescent="0.35">
      <c r="A44" t="s">
        <v>273</v>
      </c>
      <c r="B44" t="s">
        <v>274</v>
      </c>
      <c r="C44" t="s">
        <v>240</v>
      </c>
      <c r="D44" t="s">
        <v>31</v>
      </c>
      <c r="E44" t="s">
        <v>164</v>
      </c>
      <c r="F44">
        <v>100434</v>
      </c>
      <c r="G44" s="3">
        <v>45622</v>
      </c>
      <c r="H44" t="s">
        <v>188</v>
      </c>
      <c r="I44" s="4">
        <v>46127.974039351851</v>
      </c>
    </row>
    <row r="45" spans="1:9" x14ac:dyDescent="0.35">
      <c r="A45" t="s">
        <v>282</v>
      </c>
      <c r="B45" t="s">
        <v>283</v>
      </c>
      <c r="C45" t="s">
        <v>210</v>
      </c>
      <c r="D45" t="s">
        <v>31</v>
      </c>
      <c r="E45" t="s">
        <v>152</v>
      </c>
      <c r="F45">
        <v>385542</v>
      </c>
      <c r="G45" s="3">
        <v>45826</v>
      </c>
      <c r="H45" t="s">
        <v>182</v>
      </c>
      <c r="I45" s="4">
        <v>46127.974039351851</v>
      </c>
    </row>
    <row r="46" spans="1:9" x14ac:dyDescent="0.35">
      <c r="A46" t="s">
        <v>284</v>
      </c>
      <c r="B46" t="s">
        <v>285</v>
      </c>
      <c r="C46" t="s">
        <v>236</v>
      </c>
      <c r="D46" t="s">
        <v>31</v>
      </c>
      <c r="E46" t="s">
        <v>110</v>
      </c>
      <c r="F46">
        <v>228658</v>
      </c>
      <c r="G46" s="3">
        <v>45716</v>
      </c>
      <c r="H46" t="s">
        <v>188</v>
      </c>
      <c r="I46" s="4">
        <v>46127.974039351851</v>
      </c>
    </row>
    <row r="47" spans="1:9" x14ac:dyDescent="0.35">
      <c r="A47" t="s">
        <v>294</v>
      </c>
      <c r="B47" t="s">
        <v>295</v>
      </c>
      <c r="C47" t="s">
        <v>187</v>
      </c>
      <c r="D47" t="s">
        <v>31</v>
      </c>
      <c r="E47" t="s">
        <v>165</v>
      </c>
      <c r="F47">
        <v>108964</v>
      </c>
      <c r="G47" s="3">
        <v>45807</v>
      </c>
      <c r="H47" t="s">
        <v>182</v>
      </c>
      <c r="I47" s="4">
        <v>46127.974039351851</v>
      </c>
    </row>
    <row r="48" spans="1:9" x14ac:dyDescent="0.35">
      <c r="A48" t="s">
        <v>306</v>
      </c>
      <c r="B48" t="s">
        <v>307</v>
      </c>
      <c r="C48" t="s">
        <v>207</v>
      </c>
      <c r="D48" t="s">
        <v>31</v>
      </c>
      <c r="E48" t="s">
        <v>126</v>
      </c>
      <c r="F48">
        <v>321675</v>
      </c>
      <c r="G48" s="3">
        <v>45696</v>
      </c>
      <c r="H48" t="s">
        <v>195</v>
      </c>
      <c r="I48" s="4">
        <v>46127.974039351851</v>
      </c>
    </row>
    <row r="49" spans="1:9" x14ac:dyDescent="0.35">
      <c r="A49" t="s">
        <v>308</v>
      </c>
      <c r="B49" t="s">
        <v>268</v>
      </c>
      <c r="C49" t="s">
        <v>243</v>
      </c>
      <c r="D49" t="s">
        <v>31</v>
      </c>
      <c r="E49" t="s">
        <v>91</v>
      </c>
      <c r="F49">
        <v>223232</v>
      </c>
      <c r="G49" s="3">
        <v>46070</v>
      </c>
      <c r="H49" t="s">
        <v>188</v>
      </c>
      <c r="I49" s="4">
        <v>46127.974039351851</v>
      </c>
    </row>
    <row r="50" spans="1:9" x14ac:dyDescent="0.35">
      <c r="A50" t="s">
        <v>309</v>
      </c>
      <c r="B50" t="s">
        <v>310</v>
      </c>
      <c r="C50" t="s">
        <v>236</v>
      </c>
      <c r="D50" t="s">
        <v>31</v>
      </c>
      <c r="E50" t="s">
        <v>130</v>
      </c>
      <c r="F50">
        <v>123271</v>
      </c>
      <c r="G50" s="3">
        <v>45604</v>
      </c>
      <c r="H50" t="s">
        <v>182</v>
      </c>
      <c r="I50" s="4">
        <v>46127.974039351851</v>
      </c>
    </row>
    <row r="51" spans="1:9" x14ac:dyDescent="0.35">
      <c r="A51" t="s">
        <v>331</v>
      </c>
      <c r="B51" t="s">
        <v>332</v>
      </c>
      <c r="C51" t="s">
        <v>322</v>
      </c>
      <c r="D51" t="s">
        <v>31</v>
      </c>
      <c r="E51" t="s">
        <v>60</v>
      </c>
      <c r="F51">
        <v>405429</v>
      </c>
      <c r="G51" s="3">
        <v>45603</v>
      </c>
      <c r="H51" t="s">
        <v>195</v>
      </c>
      <c r="I51" s="4">
        <v>46127.974039351851</v>
      </c>
    </row>
    <row r="52" spans="1:9" x14ac:dyDescent="0.35">
      <c r="A52" t="s">
        <v>333</v>
      </c>
      <c r="B52" t="s">
        <v>295</v>
      </c>
      <c r="C52" t="s">
        <v>279</v>
      </c>
      <c r="D52" t="s">
        <v>31</v>
      </c>
      <c r="E52" t="s">
        <v>85</v>
      </c>
      <c r="F52">
        <v>288714</v>
      </c>
      <c r="G52" s="3">
        <v>46023</v>
      </c>
      <c r="H52" t="s">
        <v>188</v>
      </c>
      <c r="I52" s="4">
        <v>46127.974039351851</v>
      </c>
    </row>
    <row r="53" spans="1:9" x14ac:dyDescent="0.35">
      <c r="A53" t="s">
        <v>338</v>
      </c>
      <c r="B53" t="s">
        <v>268</v>
      </c>
      <c r="C53" t="s">
        <v>191</v>
      </c>
      <c r="D53" t="s">
        <v>31</v>
      </c>
      <c r="E53" t="s">
        <v>132</v>
      </c>
      <c r="F53">
        <v>427994</v>
      </c>
      <c r="G53" s="3">
        <v>45889</v>
      </c>
      <c r="H53" t="s">
        <v>195</v>
      </c>
      <c r="I53" s="4">
        <v>46127.974039351851</v>
      </c>
    </row>
    <row r="54" spans="1:9" x14ac:dyDescent="0.35">
      <c r="A54" t="s">
        <v>341</v>
      </c>
      <c r="B54" t="s">
        <v>342</v>
      </c>
      <c r="C54" t="s">
        <v>201</v>
      </c>
      <c r="D54" t="s">
        <v>31</v>
      </c>
      <c r="E54" t="s">
        <v>126</v>
      </c>
      <c r="F54">
        <v>319815</v>
      </c>
      <c r="G54" s="3">
        <v>45987</v>
      </c>
      <c r="H54" t="s">
        <v>182</v>
      </c>
      <c r="I54" s="4">
        <v>46127.974039351851</v>
      </c>
    </row>
    <row r="55" spans="1:9" x14ac:dyDescent="0.35">
      <c r="A55" t="s">
        <v>354</v>
      </c>
      <c r="B55" t="s">
        <v>355</v>
      </c>
      <c r="C55" t="s">
        <v>187</v>
      </c>
      <c r="D55" t="s">
        <v>31</v>
      </c>
      <c r="E55" t="s">
        <v>169</v>
      </c>
      <c r="F55">
        <v>301935</v>
      </c>
      <c r="G55" s="3">
        <v>45591</v>
      </c>
      <c r="H55" t="s">
        <v>188</v>
      </c>
      <c r="I55" s="4">
        <v>46127.974039351851</v>
      </c>
    </row>
    <row r="56" spans="1:9" x14ac:dyDescent="0.35">
      <c r="A56" t="s">
        <v>360</v>
      </c>
      <c r="B56" t="s">
        <v>310</v>
      </c>
      <c r="C56" t="s">
        <v>322</v>
      </c>
      <c r="D56" t="s">
        <v>31</v>
      </c>
      <c r="E56" t="s">
        <v>79</v>
      </c>
      <c r="F56">
        <v>474937</v>
      </c>
      <c r="G56" s="3">
        <v>45560</v>
      </c>
      <c r="H56" t="s">
        <v>182</v>
      </c>
      <c r="I56" s="4">
        <v>46127.974039351851</v>
      </c>
    </row>
    <row r="57" spans="1:9" x14ac:dyDescent="0.35">
      <c r="A57" t="s">
        <v>361</v>
      </c>
      <c r="B57" t="s">
        <v>362</v>
      </c>
      <c r="C57" t="s">
        <v>266</v>
      </c>
      <c r="D57" t="s">
        <v>31</v>
      </c>
      <c r="E57" t="s">
        <v>66</v>
      </c>
      <c r="F57">
        <v>359320</v>
      </c>
      <c r="G57" s="3">
        <v>45801</v>
      </c>
      <c r="H57" t="s">
        <v>195</v>
      </c>
      <c r="I57" s="4">
        <v>46127.974039351851</v>
      </c>
    </row>
    <row r="58" spans="1:9" x14ac:dyDescent="0.35">
      <c r="A58" t="s">
        <v>374</v>
      </c>
      <c r="B58" t="s">
        <v>227</v>
      </c>
      <c r="C58" t="s">
        <v>369</v>
      </c>
      <c r="D58" t="s">
        <v>31</v>
      </c>
      <c r="E58" t="s">
        <v>128</v>
      </c>
      <c r="F58">
        <v>138620</v>
      </c>
      <c r="G58" s="3">
        <v>45708</v>
      </c>
      <c r="H58" t="s">
        <v>188</v>
      </c>
      <c r="I58" s="4">
        <v>46127.974039351851</v>
      </c>
    </row>
    <row r="59" spans="1:9" x14ac:dyDescent="0.35">
      <c r="A59" t="s">
        <v>377</v>
      </c>
      <c r="B59" t="s">
        <v>378</v>
      </c>
      <c r="C59" t="s">
        <v>266</v>
      </c>
      <c r="D59" t="s">
        <v>31</v>
      </c>
      <c r="E59" t="s">
        <v>68</v>
      </c>
      <c r="F59">
        <v>522309</v>
      </c>
      <c r="G59" s="3">
        <v>45885</v>
      </c>
      <c r="H59" t="s">
        <v>195</v>
      </c>
      <c r="I59" s="4">
        <v>46127.974039351851</v>
      </c>
    </row>
    <row r="60" spans="1:9" x14ac:dyDescent="0.35">
      <c r="A60" t="s">
        <v>405</v>
      </c>
      <c r="B60" t="s">
        <v>209</v>
      </c>
      <c r="C60" t="s">
        <v>201</v>
      </c>
      <c r="D60" t="s">
        <v>31</v>
      </c>
      <c r="E60" t="s">
        <v>159</v>
      </c>
      <c r="F60">
        <v>506688</v>
      </c>
      <c r="G60" s="3">
        <v>45542</v>
      </c>
      <c r="H60" t="s">
        <v>182</v>
      </c>
      <c r="I60" s="4">
        <v>46127.974039351851</v>
      </c>
    </row>
    <row r="61" spans="1:9" x14ac:dyDescent="0.35">
      <c r="A61" t="s">
        <v>414</v>
      </c>
      <c r="B61" t="s">
        <v>415</v>
      </c>
      <c r="C61" t="s">
        <v>236</v>
      </c>
      <c r="D61" t="s">
        <v>31</v>
      </c>
      <c r="E61" t="s">
        <v>73</v>
      </c>
      <c r="F61">
        <v>216851</v>
      </c>
      <c r="G61" s="3">
        <v>45944</v>
      </c>
      <c r="H61" t="s">
        <v>188</v>
      </c>
      <c r="I61" s="4">
        <v>46127.974039351851</v>
      </c>
    </row>
    <row r="62" spans="1:9" x14ac:dyDescent="0.35">
      <c r="A62" t="s">
        <v>416</v>
      </c>
      <c r="B62" t="s">
        <v>417</v>
      </c>
      <c r="C62" t="s">
        <v>187</v>
      </c>
      <c r="D62" t="s">
        <v>31</v>
      </c>
      <c r="E62" t="s">
        <v>87</v>
      </c>
      <c r="F62">
        <v>367454</v>
      </c>
      <c r="G62" s="3">
        <v>46097</v>
      </c>
      <c r="H62" t="s">
        <v>188</v>
      </c>
      <c r="I62" s="4">
        <v>46127.974039351851</v>
      </c>
    </row>
    <row r="63" spans="1:9" x14ac:dyDescent="0.35">
      <c r="A63" t="s">
        <v>418</v>
      </c>
      <c r="B63" t="s">
        <v>419</v>
      </c>
      <c r="C63" t="s">
        <v>236</v>
      </c>
      <c r="D63" t="s">
        <v>31</v>
      </c>
      <c r="E63" t="s">
        <v>139</v>
      </c>
      <c r="F63">
        <v>197936</v>
      </c>
      <c r="G63" s="3">
        <v>45841</v>
      </c>
      <c r="H63" t="s">
        <v>182</v>
      </c>
      <c r="I63" s="4">
        <v>46127.974039351851</v>
      </c>
    </row>
    <row r="64" spans="1:9" x14ac:dyDescent="0.35">
      <c r="A64" t="s">
        <v>196</v>
      </c>
      <c r="B64" t="s">
        <v>197</v>
      </c>
      <c r="C64" t="s">
        <v>198</v>
      </c>
      <c r="D64" t="s">
        <v>29</v>
      </c>
      <c r="E64" t="s">
        <v>150</v>
      </c>
      <c r="F64">
        <v>240680</v>
      </c>
      <c r="G64" s="3">
        <v>45543</v>
      </c>
      <c r="H64" t="s">
        <v>182</v>
      </c>
      <c r="I64" s="4">
        <v>46127.974039351851</v>
      </c>
    </row>
    <row r="65" spans="1:9" x14ac:dyDescent="0.35">
      <c r="A65" t="s">
        <v>205</v>
      </c>
      <c r="B65" t="s">
        <v>206</v>
      </c>
      <c r="C65" t="s">
        <v>207</v>
      </c>
      <c r="D65" t="s">
        <v>29</v>
      </c>
      <c r="E65" t="s">
        <v>75</v>
      </c>
      <c r="F65">
        <v>54437</v>
      </c>
      <c r="G65" s="3">
        <v>45751</v>
      </c>
      <c r="H65" t="s">
        <v>195</v>
      </c>
      <c r="I65" s="4">
        <v>46127.974039351851</v>
      </c>
    </row>
    <row r="66" spans="1:9" x14ac:dyDescent="0.35">
      <c r="A66" t="s">
        <v>215</v>
      </c>
      <c r="B66" t="s">
        <v>216</v>
      </c>
      <c r="C66" t="s">
        <v>198</v>
      </c>
      <c r="D66" t="s">
        <v>29</v>
      </c>
      <c r="E66" t="s">
        <v>119</v>
      </c>
      <c r="F66">
        <v>127630</v>
      </c>
      <c r="G66" s="3">
        <v>45757</v>
      </c>
      <c r="H66" t="s">
        <v>195</v>
      </c>
      <c r="I66" s="4">
        <v>46127.974039351851</v>
      </c>
    </row>
    <row r="67" spans="1:9" x14ac:dyDescent="0.35">
      <c r="A67" t="s">
        <v>217</v>
      </c>
      <c r="B67" t="s">
        <v>218</v>
      </c>
      <c r="C67" t="s">
        <v>194</v>
      </c>
      <c r="D67" t="s">
        <v>29</v>
      </c>
      <c r="E67" t="s">
        <v>85</v>
      </c>
      <c r="F67">
        <v>507611</v>
      </c>
      <c r="G67" s="3">
        <v>45443</v>
      </c>
      <c r="H67" t="s">
        <v>195</v>
      </c>
      <c r="I67" s="4">
        <v>46127.974039351851</v>
      </c>
    </row>
    <row r="68" spans="1:9" x14ac:dyDescent="0.35">
      <c r="A68" t="s">
        <v>259</v>
      </c>
      <c r="B68" t="s">
        <v>260</v>
      </c>
      <c r="C68" t="s">
        <v>204</v>
      </c>
      <c r="D68" t="s">
        <v>29</v>
      </c>
      <c r="E68" t="s">
        <v>112</v>
      </c>
      <c r="F68">
        <v>62330</v>
      </c>
      <c r="G68" s="3">
        <v>45887</v>
      </c>
      <c r="H68" t="s">
        <v>182</v>
      </c>
      <c r="I68" s="4">
        <v>46127.974039351851</v>
      </c>
    </row>
    <row r="69" spans="1:9" x14ac:dyDescent="0.35">
      <c r="A69" t="s">
        <v>262</v>
      </c>
      <c r="B69" t="s">
        <v>263</v>
      </c>
      <c r="C69" t="s">
        <v>233</v>
      </c>
      <c r="D69" t="s">
        <v>29</v>
      </c>
      <c r="E69" t="s">
        <v>64</v>
      </c>
      <c r="F69">
        <v>274831</v>
      </c>
      <c r="G69" s="3">
        <v>45383</v>
      </c>
      <c r="H69" t="s">
        <v>182</v>
      </c>
      <c r="I69" s="4">
        <v>46127.974039351851</v>
      </c>
    </row>
    <row r="70" spans="1:9" x14ac:dyDescent="0.35">
      <c r="A70" t="s">
        <v>286</v>
      </c>
      <c r="B70" t="s">
        <v>287</v>
      </c>
      <c r="C70" t="s">
        <v>198</v>
      </c>
      <c r="D70" t="s">
        <v>29</v>
      </c>
      <c r="E70" t="s">
        <v>62</v>
      </c>
      <c r="F70">
        <v>446232</v>
      </c>
      <c r="G70" s="3">
        <v>45683</v>
      </c>
      <c r="H70" t="s">
        <v>182</v>
      </c>
      <c r="I70" s="4">
        <v>46127.974039351851</v>
      </c>
    </row>
    <row r="71" spans="1:9" x14ac:dyDescent="0.35">
      <c r="A71" t="s">
        <v>298</v>
      </c>
      <c r="B71" t="s">
        <v>299</v>
      </c>
      <c r="C71" t="s">
        <v>230</v>
      </c>
      <c r="D71" t="s">
        <v>29</v>
      </c>
      <c r="E71" t="s">
        <v>102</v>
      </c>
      <c r="F71">
        <v>168037</v>
      </c>
      <c r="G71" s="3">
        <v>45885</v>
      </c>
      <c r="H71" t="s">
        <v>188</v>
      </c>
      <c r="I71" s="4">
        <v>46127.974039351851</v>
      </c>
    </row>
    <row r="72" spans="1:9" x14ac:dyDescent="0.35">
      <c r="A72" t="s">
        <v>321</v>
      </c>
      <c r="B72" t="s">
        <v>287</v>
      </c>
      <c r="C72" t="s">
        <v>322</v>
      </c>
      <c r="D72" t="s">
        <v>29</v>
      </c>
      <c r="E72" t="s">
        <v>148</v>
      </c>
      <c r="F72">
        <v>294356</v>
      </c>
      <c r="G72" s="3">
        <v>45493</v>
      </c>
      <c r="H72" t="s">
        <v>182</v>
      </c>
      <c r="I72" s="4">
        <v>46127.974039351851</v>
      </c>
    </row>
    <row r="73" spans="1:9" x14ac:dyDescent="0.35">
      <c r="A73" t="s">
        <v>329</v>
      </c>
      <c r="B73" t="s">
        <v>330</v>
      </c>
      <c r="C73" t="s">
        <v>322</v>
      </c>
      <c r="D73" t="s">
        <v>29</v>
      </c>
      <c r="E73" t="s">
        <v>104</v>
      </c>
      <c r="F73">
        <v>269649</v>
      </c>
      <c r="G73" s="3">
        <v>45435</v>
      </c>
      <c r="H73" t="s">
        <v>182</v>
      </c>
      <c r="I73" s="4">
        <v>46127.974039351851</v>
      </c>
    </row>
    <row r="74" spans="1:9" x14ac:dyDescent="0.35">
      <c r="A74" t="s">
        <v>347</v>
      </c>
      <c r="B74" t="s">
        <v>348</v>
      </c>
      <c r="C74" t="s">
        <v>322</v>
      </c>
      <c r="D74" t="s">
        <v>29</v>
      </c>
      <c r="E74" t="s">
        <v>85</v>
      </c>
      <c r="F74">
        <v>132114</v>
      </c>
      <c r="G74" s="3">
        <v>45808</v>
      </c>
      <c r="H74" t="s">
        <v>182</v>
      </c>
      <c r="I74" s="4">
        <v>46127.974039351851</v>
      </c>
    </row>
    <row r="75" spans="1:9" x14ac:dyDescent="0.35">
      <c r="A75" t="s">
        <v>351</v>
      </c>
      <c r="B75" t="s">
        <v>352</v>
      </c>
      <c r="C75" t="s">
        <v>353</v>
      </c>
      <c r="D75" t="s">
        <v>29</v>
      </c>
      <c r="E75" t="s">
        <v>159</v>
      </c>
      <c r="F75">
        <v>134623</v>
      </c>
      <c r="G75" s="3">
        <v>45890</v>
      </c>
      <c r="H75" t="s">
        <v>188</v>
      </c>
      <c r="I75" s="4">
        <v>46127.974039351851</v>
      </c>
    </row>
    <row r="76" spans="1:9" x14ac:dyDescent="0.35">
      <c r="A76" t="s">
        <v>356</v>
      </c>
      <c r="B76" t="s">
        <v>357</v>
      </c>
      <c r="C76" t="s">
        <v>198</v>
      </c>
      <c r="D76" t="s">
        <v>29</v>
      </c>
      <c r="E76" t="s">
        <v>81</v>
      </c>
      <c r="F76">
        <v>131058</v>
      </c>
      <c r="G76" s="3">
        <v>45534</v>
      </c>
      <c r="H76" t="s">
        <v>188</v>
      </c>
      <c r="I76" s="4">
        <v>46127.974039351851</v>
      </c>
    </row>
    <row r="77" spans="1:9" x14ac:dyDescent="0.35">
      <c r="A77" t="s">
        <v>370</v>
      </c>
      <c r="B77" t="s">
        <v>371</v>
      </c>
      <c r="C77" t="s">
        <v>187</v>
      </c>
      <c r="D77" t="s">
        <v>29</v>
      </c>
      <c r="E77" t="s">
        <v>81</v>
      </c>
      <c r="F77">
        <v>490070</v>
      </c>
      <c r="G77" s="3">
        <v>45420</v>
      </c>
      <c r="H77" t="s">
        <v>182</v>
      </c>
      <c r="I77" s="4">
        <v>46127.974039351851</v>
      </c>
    </row>
    <row r="78" spans="1:9" x14ac:dyDescent="0.35">
      <c r="A78" t="s">
        <v>375</v>
      </c>
      <c r="B78" t="s">
        <v>376</v>
      </c>
      <c r="C78" t="s">
        <v>201</v>
      </c>
      <c r="D78" t="s">
        <v>29</v>
      </c>
      <c r="E78" t="s">
        <v>158</v>
      </c>
      <c r="F78">
        <v>270189</v>
      </c>
      <c r="G78" s="3">
        <v>45584</v>
      </c>
      <c r="H78" t="s">
        <v>188</v>
      </c>
      <c r="I78" s="4">
        <v>46127.974039351851</v>
      </c>
    </row>
    <row r="79" spans="1:9" x14ac:dyDescent="0.35">
      <c r="A79" t="s">
        <v>379</v>
      </c>
      <c r="B79" t="s">
        <v>380</v>
      </c>
      <c r="C79" t="s">
        <v>279</v>
      </c>
      <c r="D79" t="s">
        <v>29</v>
      </c>
      <c r="E79" t="s">
        <v>133</v>
      </c>
      <c r="F79">
        <v>529014</v>
      </c>
      <c r="G79" s="3">
        <v>45374</v>
      </c>
      <c r="H79" t="s">
        <v>195</v>
      </c>
      <c r="I79" s="4">
        <v>46127.974039351851</v>
      </c>
    </row>
    <row r="80" spans="1:9" x14ac:dyDescent="0.35">
      <c r="A80" t="s">
        <v>381</v>
      </c>
      <c r="B80" t="s">
        <v>382</v>
      </c>
      <c r="C80" t="s">
        <v>279</v>
      </c>
      <c r="D80" t="s">
        <v>29</v>
      </c>
      <c r="E80" t="s">
        <v>139</v>
      </c>
      <c r="F80">
        <v>182151</v>
      </c>
      <c r="G80" s="3">
        <v>45401</v>
      </c>
      <c r="H80" t="s">
        <v>195</v>
      </c>
      <c r="I80" s="4">
        <v>46127.974039351851</v>
      </c>
    </row>
    <row r="81" spans="1:9" x14ac:dyDescent="0.35">
      <c r="A81" t="s">
        <v>385</v>
      </c>
      <c r="B81" t="s">
        <v>386</v>
      </c>
      <c r="C81" t="s">
        <v>233</v>
      </c>
      <c r="D81" t="s">
        <v>29</v>
      </c>
      <c r="E81" t="s">
        <v>132</v>
      </c>
      <c r="F81">
        <v>284162</v>
      </c>
      <c r="G81" s="3">
        <v>45713</v>
      </c>
      <c r="H81" t="s">
        <v>182</v>
      </c>
      <c r="I81" s="4">
        <v>46127.974039351851</v>
      </c>
    </row>
    <row r="82" spans="1:9" x14ac:dyDescent="0.35">
      <c r="A82" t="s">
        <v>394</v>
      </c>
      <c r="B82" t="s">
        <v>395</v>
      </c>
      <c r="C82" t="s">
        <v>187</v>
      </c>
      <c r="D82" t="s">
        <v>29</v>
      </c>
      <c r="E82" t="s">
        <v>120</v>
      </c>
      <c r="F82">
        <v>103754</v>
      </c>
      <c r="G82" s="3">
        <v>45612</v>
      </c>
      <c r="H82" t="s">
        <v>195</v>
      </c>
      <c r="I82" s="4">
        <v>46127.974039351851</v>
      </c>
    </row>
    <row r="83" spans="1:9" x14ac:dyDescent="0.35">
      <c r="A83" t="s">
        <v>399</v>
      </c>
      <c r="B83" t="s">
        <v>400</v>
      </c>
      <c r="C83" t="s">
        <v>279</v>
      </c>
      <c r="D83" t="s">
        <v>29</v>
      </c>
      <c r="E83" t="s">
        <v>72</v>
      </c>
      <c r="F83">
        <v>171501</v>
      </c>
      <c r="G83" s="3">
        <v>45529</v>
      </c>
      <c r="H83" t="s">
        <v>182</v>
      </c>
      <c r="I83" s="4">
        <v>46127.974039351851</v>
      </c>
    </row>
    <row r="84" spans="1:9" x14ac:dyDescent="0.35">
      <c r="A84" t="s">
        <v>403</v>
      </c>
      <c r="B84" t="s">
        <v>299</v>
      </c>
      <c r="C84" t="s">
        <v>245</v>
      </c>
      <c r="D84" t="s">
        <v>29</v>
      </c>
      <c r="E84" t="s">
        <v>152</v>
      </c>
      <c r="F84">
        <v>419280</v>
      </c>
      <c r="G84" s="3">
        <v>45727</v>
      </c>
      <c r="H84" t="s">
        <v>195</v>
      </c>
      <c r="I84" s="4">
        <v>46127.974039351851</v>
      </c>
    </row>
    <row r="85" spans="1:9" x14ac:dyDescent="0.35">
      <c r="A85" t="s">
        <v>410</v>
      </c>
      <c r="B85" t="s">
        <v>411</v>
      </c>
      <c r="C85" t="s">
        <v>304</v>
      </c>
      <c r="D85" t="s">
        <v>29</v>
      </c>
      <c r="E85" t="s">
        <v>152</v>
      </c>
      <c r="F85">
        <v>239458</v>
      </c>
      <c r="G85" s="3">
        <v>45653</v>
      </c>
      <c r="H85" t="s">
        <v>182</v>
      </c>
      <c r="I85" s="4">
        <v>46127.974039351851</v>
      </c>
    </row>
    <row r="86" spans="1:9" x14ac:dyDescent="0.35">
      <c r="A86" t="s">
        <v>420</v>
      </c>
      <c r="B86" t="s">
        <v>421</v>
      </c>
      <c r="C86" t="s">
        <v>279</v>
      </c>
      <c r="D86" t="s">
        <v>29</v>
      </c>
      <c r="E86" t="s">
        <v>116</v>
      </c>
      <c r="F86">
        <v>522017</v>
      </c>
      <c r="G86" s="3">
        <v>45453</v>
      </c>
      <c r="H86" t="s">
        <v>188</v>
      </c>
      <c r="I86" s="4">
        <v>46127.974039351851</v>
      </c>
    </row>
    <row r="87" spans="1:9" x14ac:dyDescent="0.35">
      <c r="A87" t="s">
        <v>189</v>
      </c>
      <c r="B87" t="s">
        <v>190</v>
      </c>
      <c r="C87" t="s">
        <v>191</v>
      </c>
      <c r="D87" t="s">
        <v>28</v>
      </c>
      <c r="E87" t="s">
        <v>158</v>
      </c>
      <c r="F87">
        <v>52319</v>
      </c>
      <c r="G87" s="3">
        <v>45834</v>
      </c>
      <c r="H87" t="s">
        <v>188</v>
      </c>
      <c r="I87" s="4">
        <v>46127.974039351851</v>
      </c>
    </row>
    <row r="88" spans="1:9" x14ac:dyDescent="0.35">
      <c r="A88" t="s">
        <v>211</v>
      </c>
      <c r="B88" t="s">
        <v>212</v>
      </c>
      <c r="C88" t="s">
        <v>194</v>
      </c>
      <c r="D88" t="s">
        <v>28</v>
      </c>
      <c r="E88" t="s">
        <v>64</v>
      </c>
      <c r="F88">
        <v>251785</v>
      </c>
      <c r="G88" s="3">
        <v>45569</v>
      </c>
      <c r="H88" t="s">
        <v>195</v>
      </c>
      <c r="I88" s="4">
        <v>46127.974039351851</v>
      </c>
    </row>
    <row r="89" spans="1:9" x14ac:dyDescent="0.35">
      <c r="A89" t="s">
        <v>221</v>
      </c>
      <c r="B89" t="s">
        <v>222</v>
      </c>
      <c r="C89" t="s">
        <v>210</v>
      </c>
      <c r="D89" t="s">
        <v>28</v>
      </c>
      <c r="E89" t="s">
        <v>102</v>
      </c>
      <c r="F89">
        <v>407795</v>
      </c>
      <c r="G89" s="3">
        <v>45487</v>
      </c>
      <c r="H89" t="s">
        <v>195</v>
      </c>
      <c r="I89" s="4">
        <v>46127.974039351851</v>
      </c>
    </row>
    <row r="90" spans="1:9" x14ac:dyDescent="0.35">
      <c r="A90" t="s">
        <v>223</v>
      </c>
      <c r="B90" t="s">
        <v>224</v>
      </c>
      <c r="C90" t="s">
        <v>225</v>
      </c>
      <c r="D90" t="s">
        <v>28</v>
      </c>
      <c r="E90" t="s">
        <v>161</v>
      </c>
      <c r="F90">
        <v>203875</v>
      </c>
      <c r="G90" s="3">
        <v>45593</v>
      </c>
      <c r="H90" t="s">
        <v>188</v>
      </c>
      <c r="I90" s="4">
        <v>46127.974039351851</v>
      </c>
    </row>
    <row r="91" spans="1:9" x14ac:dyDescent="0.35">
      <c r="A91" t="s">
        <v>231</v>
      </c>
      <c r="B91" t="s">
        <v>232</v>
      </c>
      <c r="C91" t="s">
        <v>233</v>
      </c>
      <c r="D91" t="s">
        <v>28</v>
      </c>
      <c r="E91" t="s">
        <v>108</v>
      </c>
      <c r="F91">
        <v>295411</v>
      </c>
      <c r="G91" s="3">
        <v>45456</v>
      </c>
      <c r="H91" t="s">
        <v>195</v>
      </c>
      <c r="I91" s="4">
        <v>46127.974039351851</v>
      </c>
    </row>
    <row r="92" spans="1:9" x14ac:dyDescent="0.35">
      <c r="A92" t="s">
        <v>234</v>
      </c>
      <c r="B92" t="s">
        <v>235</v>
      </c>
      <c r="C92" t="s">
        <v>236</v>
      </c>
      <c r="D92" t="s">
        <v>28</v>
      </c>
      <c r="E92" t="s">
        <v>85</v>
      </c>
      <c r="F92">
        <v>111298</v>
      </c>
      <c r="G92" s="3">
        <v>45968</v>
      </c>
      <c r="H92" t="s">
        <v>195</v>
      </c>
      <c r="I92" s="4">
        <v>46127.974039351851</v>
      </c>
    </row>
    <row r="93" spans="1:9" x14ac:dyDescent="0.35">
      <c r="A93" t="s">
        <v>239</v>
      </c>
      <c r="B93" t="s">
        <v>222</v>
      </c>
      <c r="C93" t="s">
        <v>240</v>
      </c>
      <c r="D93" t="s">
        <v>28</v>
      </c>
      <c r="E93" t="s">
        <v>159</v>
      </c>
      <c r="F93">
        <v>119864</v>
      </c>
      <c r="G93" s="3">
        <v>45414</v>
      </c>
      <c r="H93" t="s">
        <v>188</v>
      </c>
      <c r="I93" s="4">
        <v>46127.974039351851</v>
      </c>
    </row>
    <row r="94" spans="1:9" x14ac:dyDescent="0.35">
      <c r="A94" t="s">
        <v>241</v>
      </c>
      <c r="B94" t="s">
        <v>222</v>
      </c>
      <c r="C94" t="s">
        <v>181</v>
      </c>
      <c r="D94" t="s">
        <v>28</v>
      </c>
      <c r="E94" t="s">
        <v>168</v>
      </c>
      <c r="F94">
        <v>447797</v>
      </c>
      <c r="G94" s="3">
        <v>45671</v>
      </c>
      <c r="H94" t="s">
        <v>195</v>
      </c>
      <c r="I94" s="4">
        <v>46127.974039351851</v>
      </c>
    </row>
    <row r="95" spans="1:9" x14ac:dyDescent="0.35">
      <c r="A95" t="s">
        <v>244</v>
      </c>
      <c r="B95" t="s">
        <v>190</v>
      </c>
      <c r="C95" t="s">
        <v>245</v>
      </c>
      <c r="D95" t="s">
        <v>28</v>
      </c>
      <c r="E95" t="s">
        <v>97</v>
      </c>
      <c r="F95">
        <v>147694</v>
      </c>
      <c r="G95" s="3">
        <v>45705</v>
      </c>
      <c r="H95" t="s">
        <v>182</v>
      </c>
      <c r="I95" s="4">
        <v>46127.974039351851</v>
      </c>
    </row>
    <row r="96" spans="1:9" x14ac:dyDescent="0.35">
      <c r="A96" t="s">
        <v>254</v>
      </c>
      <c r="B96" t="s">
        <v>255</v>
      </c>
      <c r="C96" t="s">
        <v>181</v>
      </c>
      <c r="D96" t="s">
        <v>28</v>
      </c>
      <c r="E96" t="s">
        <v>150</v>
      </c>
      <c r="F96">
        <v>435196</v>
      </c>
      <c r="G96" s="3">
        <v>45435</v>
      </c>
      <c r="H96" t="s">
        <v>182</v>
      </c>
      <c r="I96" s="4">
        <v>46127.974039351851</v>
      </c>
    </row>
    <row r="97" spans="1:9" x14ac:dyDescent="0.35">
      <c r="A97" t="s">
        <v>258</v>
      </c>
      <c r="B97" t="s">
        <v>232</v>
      </c>
      <c r="C97" t="s">
        <v>243</v>
      </c>
      <c r="D97" t="s">
        <v>28</v>
      </c>
      <c r="E97" t="s">
        <v>64</v>
      </c>
      <c r="F97">
        <v>101874</v>
      </c>
      <c r="G97" s="3">
        <v>45711</v>
      </c>
      <c r="H97" t="s">
        <v>195</v>
      </c>
      <c r="I97" s="4">
        <v>46127.974039351851</v>
      </c>
    </row>
    <row r="98" spans="1:9" x14ac:dyDescent="0.35">
      <c r="A98" t="s">
        <v>271</v>
      </c>
      <c r="B98" t="s">
        <v>272</v>
      </c>
      <c r="C98" t="s">
        <v>230</v>
      </c>
      <c r="D98" t="s">
        <v>28</v>
      </c>
      <c r="E98" t="s">
        <v>148</v>
      </c>
      <c r="F98">
        <v>267549</v>
      </c>
      <c r="G98" s="3">
        <v>45629</v>
      </c>
      <c r="H98" t="s">
        <v>182</v>
      </c>
      <c r="I98" s="4">
        <v>46127.974039351851</v>
      </c>
    </row>
    <row r="99" spans="1:9" x14ac:dyDescent="0.35">
      <c r="A99" t="s">
        <v>319</v>
      </c>
      <c r="B99" t="s">
        <v>320</v>
      </c>
      <c r="C99" t="s">
        <v>243</v>
      </c>
      <c r="D99" t="s">
        <v>28</v>
      </c>
      <c r="E99" t="s">
        <v>117</v>
      </c>
      <c r="F99">
        <v>221542</v>
      </c>
      <c r="G99" s="3">
        <v>45453</v>
      </c>
      <c r="H99" t="s">
        <v>188</v>
      </c>
      <c r="I99" s="4">
        <v>46127.974039351851</v>
      </c>
    </row>
    <row r="100" spans="1:9" x14ac:dyDescent="0.35">
      <c r="A100" t="s">
        <v>323</v>
      </c>
      <c r="B100" t="s">
        <v>324</v>
      </c>
      <c r="C100" t="s">
        <v>304</v>
      </c>
      <c r="D100" t="s">
        <v>28</v>
      </c>
      <c r="E100" t="s">
        <v>150</v>
      </c>
      <c r="F100">
        <v>499197</v>
      </c>
      <c r="G100" s="3">
        <v>45645</v>
      </c>
      <c r="H100" t="s">
        <v>182</v>
      </c>
      <c r="I100" s="4">
        <v>46127.974039351851</v>
      </c>
    </row>
    <row r="101" spans="1:9" x14ac:dyDescent="0.35">
      <c r="A101" t="s">
        <v>325</v>
      </c>
      <c r="B101" t="s">
        <v>326</v>
      </c>
      <c r="C101" t="s">
        <v>236</v>
      </c>
      <c r="D101" t="s">
        <v>28</v>
      </c>
      <c r="E101" t="s">
        <v>116</v>
      </c>
      <c r="F101">
        <v>243535</v>
      </c>
      <c r="G101" s="3">
        <v>45866</v>
      </c>
      <c r="H101" t="s">
        <v>182</v>
      </c>
      <c r="I101" s="4">
        <v>46127.974039351851</v>
      </c>
    </row>
    <row r="102" spans="1:9" x14ac:dyDescent="0.35">
      <c r="A102" t="s">
        <v>336</v>
      </c>
      <c r="B102" t="s">
        <v>337</v>
      </c>
      <c r="C102" t="s">
        <v>240</v>
      </c>
      <c r="D102" t="s">
        <v>28</v>
      </c>
      <c r="E102" t="s">
        <v>165</v>
      </c>
      <c r="F102">
        <v>341744</v>
      </c>
      <c r="G102" s="3">
        <v>45618</v>
      </c>
      <c r="H102" t="s">
        <v>195</v>
      </c>
      <c r="I102" s="4">
        <v>46127.974039351851</v>
      </c>
    </row>
    <row r="103" spans="1:9" x14ac:dyDescent="0.35">
      <c r="A103" t="s">
        <v>343</v>
      </c>
      <c r="B103" t="s">
        <v>255</v>
      </c>
      <c r="C103" t="s">
        <v>210</v>
      </c>
      <c r="D103" t="s">
        <v>28</v>
      </c>
      <c r="E103" t="s">
        <v>104</v>
      </c>
      <c r="F103">
        <v>338766</v>
      </c>
      <c r="G103" s="3">
        <v>46020</v>
      </c>
      <c r="H103" t="s">
        <v>188</v>
      </c>
      <c r="I103" s="4">
        <v>46127.974039351851</v>
      </c>
    </row>
    <row r="104" spans="1:9" x14ac:dyDescent="0.35">
      <c r="A104" t="s">
        <v>396</v>
      </c>
      <c r="B104" t="s">
        <v>212</v>
      </c>
      <c r="C104" t="s">
        <v>181</v>
      </c>
      <c r="D104" t="s">
        <v>28</v>
      </c>
      <c r="E104" t="s">
        <v>140</v>
      </c>
      <c r="F104">
        <v>409837</v>
      </c>
      <c r="G104" s="3">
        <v>45590</v>
      </c>
      <c r="H104" t="s">
        <v>195</v>
      </c>
      <c r="I104" s="4">
        <v>46127.974039351851</v>
      </c>
    </row>
    <row r="105" spans="1:9" x14ac:dyDescent="0.35">
      <c r="A105" t="s">
        <v>408</v>
      </c>
      <c r="B105" t="s">
        <v>409</v>
      </c>
      <c r="C105" t="s">
        <v>233</v>
      </c>
      <c r="D105" t="s">
        <v>28</v>
      </c>
      <c r="E105" t="s">
        <v>155</v>
      </c>
      <c r="F105">
        <v>74290</v>
      </c>
      <c r="G105" s="3">
        <v>45493</v>
      </c>
      <c r="H105" t="s">
        <v>182</v>
      </c>
      <c r="I105" s="4">
        <v>46127.974039351851</v>
      </c>
    </row>
    <row r="106" spans="1:9" x14ac:dyDescent="0.35">
      <c r="A106" t="s">
        <v>422</v>
      </c>
      <c r="B106" t="s">
        <v>423</v>
      </c>
      <c r="C106" t="s">
        <v>201</v>
      </c>
      <c r="D106" t="s">
        <v>28</v>
      </c>
      <c r="E106" t="s">
        <v>156</v>
      </c>
      <c r="F106">
        <v>161230</v>
      </c>
      <c r="G106" s="3">
        <v>45979</v>
      </c>
      <c r="H106" t="s">
        <v>182</v>
      </c>
      <c r="I106" s="4">
        <v>46127.974039351851</v>
      </c>
    </row>
    <row r="107" spans="1:9" x14ac:dyDescent="0.35">
      <c r="A107" t="s">
        <v>219</v>
      </c>
      <c r="B107" t="s">
        <v>220</v>
      </c>
      <c r="C107" t="s">
        <v>194</v>
      </c>
      <c r="D107" t="s">
        <v>30</v>
      </c>
      <c r="E107" t="s">
        <v>72</v>
      </c>
      <c r="F107">
        <v>97989</v>
      </c>
      <c r="G107" s="3">
        <v>45949</v>
      </c>
      <c r="H107" t="s">
        <v>195</v>
      </c>
      <c r="I107" s="4">
        <v>46127.974039351851</v>
      </c>
    </row>
    <row r="108" spans="1:9" x14ac:dyDescent="0.35">
      <c r="A108" t="s">
        <v>228</v>
      </c>
      <c r="B108" t="s">
        <v>229</v>
      </c>
      <c r="C108" t="s">
        <v>230</v>
      </c>
      <c r="D108" t="s">
        <v>30</v>
      </c>
      <c r="E108" t="s">
        <v>73</v>
      </c>
      <c r="F108">
        <v>111307</v>
      </c>
      <c r="G108" s="3">
        <v>45418</v>
      </c>
      <c r="H108" t="s">
        <v>188</v>
      </c>
      <c r="I108" s="4">
        <v>46127.974039351851</v>
      </c>
    </row>
    <row r="109" spans="1:9" x14ac:dyDescent="0.35">
      <c r="A109" t="s">
        <v>256</v>
      </c>
      <c r="B109" t="s">
        <v>257</v>
      </c>
      <c r="C109" t="s">
        <v>194</v>
      </c>
      <c r="D109" t="s">
        <v>30</v>
      </c>
      <c r="E109" t="s">
        <v>62</v>
      </c>
      <c r="F109">
        <v>359382</v>
      </c>
      <c r="G109" s="3">
        <v>46022</v>
      </c>
      <c r="H109" t="s">
        <v>188</v>
      </c>
      <c r="I109" s="4">
        <v>46127.974039351851</v>
      </c>
    </row>
    <row r="110" spans="1:9" x14ac:dyDescent="0.35">
      <c r="A110" t="s">
        <v>275</v>
      </c>
      <c r="B110" t="s">
        <v>276</v>
      </c>
      <c r="C110" t="s">
        <v>187</v>
      </c>
      <c r="D110" t="s">
        <v>30</v>
      </c>
      <c r="E110" t="s">
        <v>149</v>
      </c>
      <c r="F110">
        <v>129799</v>
      </c>
      <c r="G110" s="3">
        <v>46008</v>
      </c>
      <c r="H110" t="s">
        <v>188</v>
      </c>
      <c r="I110" s="4">
        <v>46127.974039351851</v>
      </c>
    </row>
    <row r="111" spans="1:9" x14ac:dyDescent="0.35">
      <c r="A111" t="s">
        <v>280</v>
      </c>
      <c r="B111" t="s">
        <v>281</v>
      </c>
      <c r="C111" t="s">
        <v>187</v>
      </c>
      <c r="D111" t="s">
        <v>30</v>
      </c>
      <c r="E111" t="s">
        <v>166</v>
      </c>
      <c r="F111">
        <v>165663</v>
      </c>
      <c r="G111" s="3">
        <v>46008</v>
      </c>
      <c r="H111" t="s">
        <v>182</v>
      </c>
      <c r="I111" s="4">
        <v>46127.974039351851</v>
      </c>
    </row>
    <row r="112" spans="1:9" x14ac:dyDescent="0.35">
      <c r="A112" t="s">
        <v>288</v>
      </c>
      <c r="B112" t="s">
        <v>289</v>
      </c>
      <c r="C112" t="s">
        <v>279</v>
      </c>
      <c r="D112" t="s">
        <v>30</v>
      </c>
      <c r="E112" t="s">
        <v>112</v>
      </c>
      <c r="F112">
        <v>297298</v>
      </c>
      <c r="G112" s="3">
        <v>45768</v>
      </c>
      <c r="H112" t="s">
        <v>188</v>
      </c>
      <c r="I112" s="4">
        <v>46127.974039351851</v>
      </c>
    </row>
    <row r="113" spans="1:9" x14ac:dyDescent="0.35">
      <c r="A113" t="s">
        <v>296</v>
      </c>
      <c r="B113" t="s">
        <v>297</v>
      </c>
      <c r="C113" t="s">
        <v>191</v>
      </c>
      <c r="D113" t="s">
        <v>30</v>
      </c>
      <c r="E113" t="s">
        <v>162</v>
      </c>
      <c r="F113">
        <v>490578</v>
      </c>
      <c r="G113" s="3">
        <v>45615</v>
      </c>
      <c r="H113" t="s">
        <v>182</v>
      </c>
      <c r="I113" s="4">
        <v>46127.974039351851</v>
      </c>
    </row>
    <row r="114" spans="1:9" x14ac:dyDescent="0.35">
      <c r="A114" t="s">
        <v>311</v>
      </c>
      <c r="B114" t="s">
        <v>312</v>
      </c>
      <c r="C114" t="s">
        <v>230</v>
      </c>
      <c r="D114" t="s">
        <v>30</v>
      </c>
      <c r="E114" t="s">
        <v>81</v>
      </c>
      <c r="F114">
        <v>374575</v>
      </c>
      <c r="G114" s="3">
        <v>45480</v>
      </c>
      <c r="H114" t="s">
        <v>182</v>
      </c>
      <c r="I114" s="4">
        <v>46127.974039351851</v>
      </c>
    </row>
    <row r="115" spans="1:9" x14ac:dyDescent="0.35">
      <c r="A115" t="s">
        <v>339</v>
      </c>
      <c r="B115" t="s">
        <v>340</v>
      </c>
      <c r="C115" t="s">
        <v>248</v>
      </c>
      <c r="D115" t="s">
        <v>30</v>
      </c>
      <c r="E115" t="s">
        <v>155</v>
      </c>
      <c r="F115">
        <v>94757</v>
      </c>
      <c r="G115" s="3">
        <v>45679</v>
      </c>
      <c r="H115" t="s">
        <v>195</v>
      </c>
      <c r="I115" s="4">
        <v>46127.974039351851</v>
      </c>
    </row>
    <row r="116" spans="1:9" x14ac:dyDescent="0.35">
      <c r="A116" t="s">
        <v>344</v>
      </c>
      <c r="B116" t="s">
        <v>257</v>
      </c>
      <c r="C116" t="s">
        <v>245</v>
      </c>
      <c r="D116" t="s">
        <v>30</v>
      </c>
      <c r="E116" t="s">
        <v>98</v>
      </c>
      <c r="F116">
        <v>395017</v>
      </c>
      <c r="G116" s="3">
        <v>45749</v>
      </c>
      <c r="H116" t="s">
        <v>182</v>
      </c>
      <c r="I116" s="4">
        <v>46127.974039351851</v>
      </c>
    </row>
    <row r="117" spans="1:9" x14ac:dyDescent="0.35">
      <c r="A117" t="s">
        <v>349</v>
      </c>
      <c r="B117" t="s">
        <v>350</v>
      </c>
      <c r="C117" t="s">
        <v>201</v>
      </c>
      <c r="D117" t="s">
        <v>30</v>
      </c>
      <c r="E117" t="s">
        <v>101</v>
      </c>
      <c r="F117">
        <v>88839</v>
      </c>
      <c r="G117" s="3">
        <v>45888</v>
      </c>
      <c r="H117" t="s">
        <v>182</v>
      </c>
      <c r="I117" s="4">
        <v>46127.974039351851</v>
      </c>
    </row>
    <row r="118" spans="1:9" x14ac:dyDescent="0.35">
      <c r="A118" t="s">
        <v>358</v>
      </c>
      <c r="B118" t="s">
        <v>359</v>
      </c>
      <c r="C118" t="s">
        <v>322</v>
      </c>
      <c r="D118" t="s">
        <v>30</v>
      </c>
      <c r="E118" t="s">
        <v>138</v>
      </c>
      <c r="F118">
        <v>420090</v>
      </c>
      <c r="G118" s="3">
        <v>45929</v>
      </c>
      <c r="H118" t="s">
        <v>195</v>
      </c>
      <c r="I118" s="4">
        <v>46127.974039351851</v>
      </c>
    </row>
    <row r="119" spans="1:9" x14ac:dyDescent="0.35">
      <c r="A119" t="s">
        <v>365</v>
      </c>
      <c r="B119" t="s">
        <v>366</v>
      </c>
      <c r="C119" t="s">
        <v>243</v>
      </c>
      <c r="D119" t="s">
        <v>30</v>
      </c>
      <c r="E119" t="s">
        <v>79</v>
      </c>
      <c r="F119">
        <v>160642</v>
      </c>
      <c r="G119" s="3">
        <v>45390</v>
      </c>
      <c r="H119" t="s">
        <v>188</v>
      </c>
      <c r="I119" s="4">
        <v>46127.974039351851</v>
      </c>
    </row>
    <row r="120" spans="1:9" x14ac:dyDescent="0.35">
      <c r="A120" t="s">
        <v>367</v>
      </c>
      <c r="B120" t="s">
        <v>368</v>
      </c>
      <c r="C120" t="s">
        <v>369</v>
      </c>
      <c r="D120" t="s">
        <v>30</v>
      </c>
      <c r="E120" t="s">
        <v>160</v>
      </c>
      <c r="F120">
        <v>244084</v>
      </c>
      <c r="G120" s="3">
        <v>45465</v>
      </c>
      <c r="H120" t="s">
        <v>195</v>
      </c>
      <c r="I120" s="4">
        <v>46127.974039351851</v>
      </c>
    </row>
    <row r="121" spans="1:9" x14ac:dyDescent="0.35">
      <c r="A121" t="s">
        <v>383</v>
      </c>
      <c r="B121" t="s">
        <v>384</v>
      </c>
      <c r="C121" t="s">
        <v>233</v>
      </c>
      <c r="D121" t="s">
        <v>30</v>
      </c>
      <c r="E121" t="s">
        <v>159</v>
      </c>
      <c r="F121">
        <v>381376</v>
      </c>
      <c r="G121" s="3">
        <v>45893</v>
      </c>
      <c r="H121" t="s">
        <v>195</v>
      </c>
      <c r="I121" s="4">
        <v>46127.974039351851</v>
      </c>
    </row>
    <row r="122" spans="1:9" x14ac:dyDescent="0.35">
      <c r="A122" t="s">
        <v>397</v>
      </c>
      <c r="B122" t="s">
        <v>398</v>
      </c>
      <c r="C122" t="s">
        <v>353</v>
      </c>
      <c r="D122" t="s">
        <v>30</v>
      </c>
      <c r="E122" t="s">
        <v>81</v>
      </c>
      <c r="F122">
        <v>278367</v>
      </c>
      <c r="G122" s="3">
        <v>45740</v>
      </c>
      <c r="H122" t="s">
        <v>195</v>
      </c>
      <c r="I122" s="4">
        <v>46127.974039351851</v>
      </c>
    </row>
    <row r="123" spans="1:9" x14ac:dyDescent="0.35">
      <c r="A123" t="s">
        <v>404</v>
      </c>
      <c r="B123" t="s">
        <v>257</v>
      </c>
      <c r="C123" t="s">
        <v>233</v>
      </c>
      <c r="D123" t="s">
        <v>30</v>
      </c>
      <c r="E123" t="s">
        <v>70</v>
      </c>
      <c r="F123">
        <v>487303</v>
      </c>
      <c r="G123" s="3">
        <v>45610</v>
      </c>
      <c r="H123" t="s">
        <v>188</v>
      </c>
      <c r="I123" s="4">
        <v>46127.974039351851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C1BF-355C-47EF-91CB-280861960572}">
  <sheetPr codeName="Sheet21"/>
  <dimension ref="A1:I23"/>
  <sheetViews>
    <sheetView topLeftCell="N1" workbookViewId="0">
      <selection activeCell="A3" sqref="A3:I23"/>
    </sheetView>
  </sheetViews>
  <sheetFormatPr defaultRowHeight="14.5" x14ac:dyDescent="0.35"/>
  <cols>
    <col min="1" max="2" width="14.1796875" bestFit="1" customWidth="1"/>
    <col min="3" max="3" width="36" bestFit="1" customWidth="1"/>
    <col min="4" max="4" width="23.81640625" bestFit="1" customWidth="1"/>
    <col min="5" max="5" width="19.81640625" bestFit="1" customWidth="1"/>
    <col min="6" max="6" width="23" bestFit="1" customWidth="1"/>
    <col min="7" max="7" width="16.36328125" bestFit="1" customWidth="1"/>
    <col min="8" max="8" width="17.7265625" bestFit="1" customWidth="1"/>
    <col min="9" max="9" width="15.08984375" bestFit="1" customWidth="1"/>
  </cols>
  <sheetData>
    <row r="1" spans="1:9" x14ac:dyDescent="0.35">
      <c r="A1" s="1" t="s">
        <v>997</v>
      </c>
    </row>
    <row r="3" spans="1:9" x14ac:dyDescent="0.35">
      <c r="A3" t="s">
        <v>171</v>
      </c>
      <c r="B3" t="s">
        <v>172</v>
      </c>
      <c r="C3" t="s">
        <v>173</v>
      </c>
      <c r="D3" t="s">
        <v>174</v>
      </c>
      <c r="E3" t="s">
        <v>175</v>
      </c>
      <c r="F3" t="s">
        <v>176</v>
      </c>
      <c r="G3" t="s">
        <v>177</v>
      </c>
      <c r="H3" t="s">
        <v>178</v>
      </c>
      <c r="I3" t="s">
        <v>56</v>
      </c>
    </row>
    <row r="4" spans="1:9" x14ac:dyDescent="0.35">
      <c r="A4" t="s">
        <v>179</v>
      </c>
      <c r="B4" t="s">
        <v>180</v>
      </c>
      <c r="C4" t="s">
        <v>181</v>
      </c>
      <c r="D4" t="s">
        <v>26</v>
      </c>
      <c r="E4" t="s">
        <v>127</v>
      </c>
      <c r="F4">
        <v>104705</v>
      </c>
      <c r="G4" s="3">
        <v>46054</v>
      </c>
      <c r="H4" t="s">
        <v>182</v>
      </c>
      <c r="I4" s="4">
        <v>46127.974039351851</v>
      </c>
    </row>
    <row r="5" spans="1:9" x14ac:dyDescent="0.35">
      <c r="A5" t="s">
        <v>412</v>
      </c>
      <c r="B5" t="s">
        <v>413</v>
      </c>
      <c r="C5" t="s">
        <v>187</v>
      </c>
      <c r="D5" t="s">
        <v>26</v>
      </c>
      <c r="E5" t="s">
        <v>93</v>
      </c>
      <c r="F5">
        <v>190217</v>
      </c>
      <c r="G5" s="3">
        <v>45501</v>
      </c>
      <c r="H5" t="s">
        <v>182</v>
      </c>
      <c r="I5" s="4">
        <v>46127.974039351851</v>
      </c>
    </row>
    <row r="6" spans="1:9" x14ac:dyDescent="0.35">
      <c r="A6" t="s">
        <v>185</v>
      </c>
      <c r="B6" t="s">
        <v>186</v>
      </c>
      <c r="C6" t="s">
        <v>187</v>
      </c>
      <c r="D6" t="s">
        <v>26</v>
      </c>
      <c r="E6" t="s">
        <v>148</v>
      </c>
      <c r="F6">
        <v>248220</v>
      </c>
      <c r="G6" s="3">
        <v>45818</v>
      </c>
      <c r="H6" t="s">
        <v>188</v>
      </c>
      <c r="I6" s="4">
        <v>46127.974039351851</v>
      </c>
    </row>
    <row r="7" spans="1:9" x14ac:dyDescent="0.35">
      <c r="A7" t="s">
        <v>407</v>
      </c>
      <c r="B7" t="s">
        <v>270</v>
      </c>
      <c r="C7" t="s">
        <v>240</v>
      </c>
      <c r="D7" t="s">
        <v>26</v>
      </c>
      <c r="E7" t="s">
        <v>140</v>
      </c>
      <c r="F7">
        <v>412243</v>
      </c>
      <c r="G7" s="3">
        <v>45609</v>
      </c>
      <c r="H7" t="s">
        <v>195</v>
      </c>
      <c r="I7" s="4">
        <v>46127.974039351851</v>
      </c>
    </row>
    <row r="8" spans="1:9" x14ac:dyDescent="0.35">
      <c r="A8" t="s">
        <v>406</v>
      </c>
      <c r="B8" t="s">
        <v>203</v>
      </c>
      <c r="C8" t="s">
        <v>225</v>
      </c>
      <c r="D8" t="s">
        <v>26</v>
      </c>
      <c r="E8" t="s">
        <v>125</v>
      </c>
      <c r="F8">
        <v>228657</v>
      </c>
      <c r="G8" s="3">
        <v>45529</v>
      </c>
      <c r="H8" t="s">
        <v>188</v>
      </c>
      <c r="I8" s="4">
        <v>46127.974039351851</v>
      </c>
    </row>
    <row r="9" spans="1:9" x14ac:dyDescent="0.35">
      <c r="A9" t="s">
        <v>387</v>
      </c>
      <c r="B9" t="s">
        <v>388</v>
      </c>
      <c r="C9" t="s">
        <v>389</v>
      </c>
      <c r="D9" t="s">
        <v>26</v>
      </c>
      <c r="E9" t="s">
        <v>127</v>
      </c>
      <c r="F9">
        <v>55791</v>
      </c>
      <c r="G9" s="3">
        <v>45952</v>
      </c>
      <c r="H9" t="s">
        <v>188</v>
      </c>
      <c r="I9" s="4">
        <v>46127.974039351851</v>
      </c>
    </row>
    <row r="10" spans="1:9" x14ac:dyDescent="0.35">
      <c r="A10" t="s">
        <v>363</v>
      </c>
      <c r="B10" t="s">
        <v>364</v>
      </c>
      <c r="C10" t="s">
        <v>194</v>
      </c>
      <c r="D10" t="s">
        <v>26</v>
      </c>
      <c r="E10" t="s">
        <v>85</v>
      </c>
      <c r="F10">
        <v>144773</v>
      </c>
      <c r="G10" s="3">
        <v>45872</v>
      </c>
      <c r="H10" t="s">
        <v>195</v>
      </c>
      <c r="I10" s="4">
        <v>46127.974039351851</v>
      </c>
    </row>
    <row r="11" spans="1:9" x14ac:dyDescent="0.35">
      <c r="A11" t="s">
        <v>202</v>
      </c>
      <c r="B11" t="s">
        <v>203</v>
      </c>
      <c r="C11" t="s">
        <v>204</v>
      </c>
      <c r="D11" t="s">
        <v>26</v>
      </c>
      <c r="E11" t="s">
        <v>158</v>
      </c>
      <c r="F11">
        <v>114374</v>
      </c>
      <c r="G11" s="3">
        <v>45654</v>
      </c>
      <c r="H11" t="s">
        <v>182</v>
      </c>
      <c r="I11" s="4">
        <v>46127.974039351851</v>
      </c>
    </row>
    <row r="12" spans="1:9" x14ac:dyDescent="0.35">
      <c r="A12" t="s">
        <v>327</v>
      </c>
      <c r="B12" t="s">
        <v>328</v>
      </c>
      <c r="C12" t="s">
        <v>233</v>
      </c>
      <c r="D12" t="s">
        <v>26</v>
      </c>
      <c r="E12" t="s">
        <v>165</v>
      </c>
      <c r="F12">
        <v>442654</v>
      </c>
      <c r="G12" s="3">
        <v>45422</v>
      </c>
      <c r="H12" t="s">
        <v>195</v>
      </c>
      <c r="I12" s="4">
        <v>46127.974039351851</v>
      </c>
    </row>
    <row r="13" spans="1:9" x14ac:dyDescent="0.35">
      <c r="A13" t="s">
        <v>315</v>
      </c>
      <c r="B13" t="s">
        <v>316</v>
      </c>
      <c r="C13" t="s">
        <v>266</v>
      </c>
      <c r="D13" t="s">
        <v>26</v>
      </c>
      <c r="E13" t="s">
        <v>75</v>
      </c>
      <c r="F13">
        <v>381173</v>
      </c>
      <c r="G13" s="3">
        <v>46036</v>
      </c>
      <c r="H13" t="s">
        <v>195</v>
      </c>
      <c r="I13" s="4">
        <v>46127.974039351851</v>
      </c>
    </row>
    <row r="14" spans="1:9" x14ac:dyDescent="0.35">
      <c r="A14" t="s">
        <v>313</v>
      </c>
      <c r="B14" t="s">
        <v>314</v>
      </c>
      <c r="C14" t="s">
        <v>240</v>
      </c>
      <c r="D14" t="s">
        <v>26</v>
      </c>
      <c r="E14" t="s">
        <v>114</v>
      </c>
      <c r="F14">
        <v>87740</v>
      </c>
      <c r="G14" s="3">
        <v>45816</v>
      </c>
      <c r="H14" t="s">
        <v>195</v>
      </c>
      <c r="I14" s="4">
        <v>46127.974039351851</v>
      </c>
    </row>
    <row r="15" spans="1:9" x14ac:dyDescent="0.35">
      <c r="A15" t="s">
        <v>213</v>
      </c>
      <c r="B15" t="s">
        <v>214</v>
      </c>
      <c r="C15" t="s">
        <v>198</v>
      </c>
      <c r="D15" t="s">
        <v>26</v>
      </c>
      <c r="E15" t="s">
        <v>72</v>
      </c>
      <c r="F15">
        <v>456824</v>
      </c>
      <c r="G15" s="3">
        <v>45789</v>
      </c>
      <c r="H15" t="s">
        <v>182</v>
      </c>
      <c r="I15" s="4">
        <v>46127.974039351851</v>
      </c>
    </row>
    <row r="16" spans="1:9" x14ac:dyDescent="0.35">
      <c r="A16" t="s">
        <v>305</v>
      </c>
      <c r="B16" t="s">
        <v>238</v>
      </c>
      <c r="C16" t="s">
        <v>279</v>
      </c>
      <c r="D16" t="s">
        <v>26</v>
      </c>
      <c r="E16" t="s">
        <v>91</v>
      </c>
      <c r="F16">
        <v>73629</v>
      </c>
      <c r="G16" s="3">
        <v>45526</v>
      </c>
      <c r="H16" t="s">
        <v>188</v>
      </c>
      <c r="I16" s="4">
        <v>46127.974039351851</v>
      </c>
    </row>
    <row r="17" spans="1:9" x14ac:dyDescent="0.35">
      <c r="A17" t="s">
        <v>292</v>
      </c>
      <c r="B17" t="s">
        <v>293</v>
      </c>
      <c r="C17" t="s">
        <v>207</v>
      </c>
      <c r="D17" t="s">
        <v>26</v>
      </c>
      <c r="E17" t="s">
        <v>136</v>
      </c>
      <c r="F17">
        <v>475100</v>
      </c>
      <c r="G17" s="3">
        <v>45887</v>
      </c>
      <c r="H17" t="s">
        <v>188</v>
      </c>
      <c r="I17" s="4">
        <v>46127.974039351851</v>
      </c>
    </row>
    <row r="18" spans="1:9" x14ac:dyDescent="0.35">
      <c r="A18" t="s">
        <v>290</v>
      </c>
      <c r="B18" t="s">
        <v>291</v>
      </c>
      <c r="C18" t="s">
        <v>266</v>
      </c>
      <c r="D18" t="s">
        <v>26</v>
      </c>
      <c r="E18" t="s">
        <v>57</v>
      </c>
      <c r="F18">
        <v>298701</v>
      </c>
      <c r="G18" s="3">
        <v>45678</v>
      </c>
      <c r="H18" t="s">
        <v>195</v>
      </c>
      <c r="I18" s="4">
        <v>46127.974039351851</v>
      </c>
    </row>
    <row r="19" spans="1:9" x14ac:dyDescent="0.35">
      <c r="A19" t="s">
        <v>277</v>
      </c>
      <c r="B19" t="s">
        <v>278</v>
      </c>
      <c r="C19" t="s">
        <v>279</v>
      </c>
      <c r="D19" t="s">
        <v>26</v>
      </c>
      <c r="E19" t="s">
        <v>104</v>
      </c>
      <c r="F19">
        <v>75614</v>
      </c>
      <c r="G19" s="3">
        <v>45926</v>
      </c>
      <c r="H19" t="s">
        <v>188</v>
      </c>
      <c r="I19" s="4">
        <v>46127.974039351851</v>
      </c>
    </row>
    <row r="20" spans="1:9" x14ac:dyDescent="0.35">
      <c r="A20" t="s">
        <v>269</v>
      </c>
      <c r="B20" t="s">
        <v>270</v>
      </c>
      <c r="C20" t="s">
        <v>207</v>
      </c>
      <c r="D20" t="s">
        <v>26</v>
      </c>
      <c r="E20" t="s">
        <v>72</v>
      </c>
      <c r="F20">
        <v>168986</v>
      </c>
      <c r="G20" s="3">
        <v>45829</v>
      </c>
      <c r="H20" t="s">
        <v>182</v>
      </c>
      <c r="I20" s="4">
        <v>46127.974039351851</v>
      </c>
    </row>
    <row r="21" spans="1:9" x14ac:dyDescent="0.35">
      <c r="A21" t="s">
        <v>252</v>
      </c>
      <c r="B21" t="s">
        <v>253</v>
      </c>
      <c r="C21" t="s">
        <v>191</v>
      </c>
      <c r="D21" t="s">
        <v>26</v>
      </c>
      <c r="E21" t="s">
        <v>68</v>
      </c>
      <c r="F21">
        <v>437471</v>
      </c>
      <c r="G21" s="3">
        <v>45518</v>
      </c>
      <c r="H21" t="s">
        <v>195</v>
      </c>
      <c r="I21" s="4">
        <v>46127.974039351851</v>
      </c>
    </row>
    <row r="22" spans="1:9" x14ac:dyDescent="0.35">
      <c r="A22" t="s">
        <v>251</v>
      </c>
      <c r="B22" t="s">
        <v>180</v>
      </c>
      <c r="C22" t="s">
        <v>230</v>
      </c>
      <c r="D22" t="s">
        <v>26</v>
      </c>
      <c r="E22" t="s">
        <v>120</v>
      </c>
      <c r="F22">
        <v>232172</v>
      </c>
      <c r="G22" s="3">
        <v>46049</v>
      </c>
      <c r="H22" t="s">
        <v>188</v>
      </c>
      <c r="I22" s="4">
        <v>46127.974039351851</v>
      </c>
    </row>
    <row r="23" spans="1:9" x14ac:dyDescent="0.35">
      <c r="A23" t="s">
        <v>237</v>
      </c>
      <c r="B23" t="s">
        <v>238</v>
      </c>
      <c r="C23" t="s">
        <v>181</v>
      </c>
      <c r="D23" t="s">
        <v>26</v>
      </c>
      <c r="E23" t="s">
        <v>87</v>
      </c>
      <c r="F23">
        <v>364875</v>
      </c>
      <c r="G23" s="3">
        <v>45739</v>
      </c>
      <c r="H23" t="s">
        <v>195</v>
      </c>
      <c r="I23" s="4">
        <v>46127.974039351851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1C70-F441-4530-AC1F-7B149EC1088E}">
  <sheetPr codeName="Sheet10"/>
  <dimension ref="A1:B5"/>
  <sheetViews>
    <sheetView workbookViewId="0">
      <selection activeCell="B4" sqref="B4"/>
    </sheetView>
  </sheetViews>
  <sheetFormatPr defaultRowHeight="14.5" x14ac:dyDescent="0.35"/>
  <cols>
    <col min="1" max="1" width="18.1796875" bestFit="1" customWidth="1"/>
    <col min="2" max="2" width="13.26953125" bestFit="1" customWidth="1"/>
  </cols>
  <sheetData>
    <row r="1" spans="1:2" ht="18.5" x14ac:dyDescent="0.45">
      <c r="A1" s="31" t="s">
        <v>968</v>
      </c>
    </row>
    <row r="3" spans="1:2" x14ac:dyDescent="0.35">
      <c r="A3" s="28" t="s">
        <v>962</v>
      </c>
      <c r="B3" t="s">
        <v>967</v>
      </c>
    </row>
    <row r="4" spans="1:2" x14ac:dyDescent="0.35">
      <c r="A4" s="29" t="s">
        <v>31</v>
      </c>
      <c r="B4" s="30">
        <v>7394336</v>
      </c>
    </row>
    <row r="5" spans="1:2" x14ac:dyDescent="0.35">
      <c r="A5" s="29" t="s">
        <v>963</v>
      </c>
      <c r="B5" s="30">
        <v>7394336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6A3C-BBE5-427D-9100-42E373FCFA4F}">
  <sheetPr codeName="Sheet11"/>
  <dimension ref="A1:C44"/>
  <sheetViews>
    <sheetView workbookViewId="0">
      <selection activeCell="B9" sqref="B9"/>
    </sheetView>
  </sheetViews>
  <sheetFormatPr defaultRowHeight="14.5" x14ac:dyDescent="0.35"/>
  <cols>
    <col min="1" max="1" width="12.453125" bestFit="1" customWidth="1"/>
    <col min="2" max="2" width="16.08984375" bestFit="1" customWidth="1"/>
    <col min="3" max="3" width="10.36328125" bestFit="1" customWidth="1"/>
    <col min="4" max="4" width="16.08984375" bestFit="1" customWidth="1"/>
    <col min="5" max="6" width="15.1796875" bestFit="1" customWidth="1"/>
    <col min="7" max="7" width="18.90625" bestFit="1" customWidth="1"/>
    <col min="8" max="8" width="10.36328125" bestFit="1" customWidth="1"/>
  </cols>
  <sheetData>
    <row r="1" spans="1:3" ht="18.5" x14ac:dyDescent="0.45">
      <c r="A1" s="31" t="s">
        <v>970</v>
      </c>
    </row>
    <row r="3" spans="1:3" x14ac:dyDescent="0.35">
      <c r="A3" s="28" t="s">
        <v>969</v>
      </c>
      <c r="B3" s="28" t="s">
        <v>964</v>
      </c>
    </row>
    <row r="4" spans="1:3" x14ac:dyDescent="0.35">
      <c r="A4" s="28" t="s">
        <v>962</v>
      </c>
      <c r="B4" t="s">
        <v>38</v>
      </c>
      <c r="C4" t="s">
        <v>963</v>
      </c>
    </row>
    <row r="5" spans="1:3" x14ac:dyDescent="0.35">
      <c r="A5" s="32">
        <v>45763</v>
      </c>
      <c r="B5" s="30">
        <v>7713.1543616950512</v>
      </c>
      <c r="C5" s="30">
        <v>7713.1543616950512</v>
      </c>
    </row>
    <row r="6" spans="1:3" x14ac:dyDescent="0.35">
      <c r="A6" s="32">
        <v>45770</v>
      </c>
      <c r="B6" s="30">
        <v>0</v>
      </c>
      <c r="C6" s="30">
        <v>0</v>
      </c>
    </row>
    <row r="7" spans="1:3" x14ac:dyDescent="0.35">
      <c r="A7" s="32">
        <v>45775</v>
      </c>
      <c r="B7" s="30">
        <v>0</v>
      </c>
      <c r="C7" s="30">
        <v>0</v>
      </c>
    </row>
    <row r="8" spans="1:3" x14ac:dyDescent="0.35">
      <c r="A8" s="32">
        <v>45777</v>
      </c>
      <c r="B8" s="30">
        <v>17697.616277951001</v>
      </c>
      <c r="C8" s="30">
        <v>17697.616277951001</v>
      </c>
    </row>
    <row r="9" spans="1:3" x14ac:dyDescent="0.35">
      <c r="A9" s="32">
        <v>45780</v>
      </c>
      <c r="B9" s="30">
        <v>0</v>
      </c>
      <c r="C9" s="30">
        <v>0</v>
      </c>
    </row>
    <row r="10" spans="1:3" x14ac:dyDescent="0.35">
      <c r="A10" s="32">
        <v>45786</v>
      </c>
      <c r="B10" s="30">
        <v>0</v>
      </c>
      <c r="C10" s="30">
        <v>0</v>
      </c>
    </row>
    <row r="11" spans="1:3" x14ac:dyDescent="0.35">
      <c r="A11" s="32">
        <v>45787</v>
      </c>
      <c r="B11" s="30">
        <v>0</v>
      </c>
      <c r="C11" s="30">
        <v>0</v>
      </c>
    </row>
    <row r="12" spans="1:3" x14ac:dyDescent="0.35">
      <c r="A12" s="32">
        <v>45790</v>
      </c>
      <c r="B12" s="30">
        <v>23922.302096235751</v>
      </c>
      <c r="C12" s="30">
        <v>23922.302096235751</v>
      </c>
    </row>
    <row r="13" spans="1:3" x14ac:dyDescent="0.35">
      <c r="A13" s="32">
        <v>45814</v>
      </c>
      <c r="B13" s="30">
        <v>23012.800830143689</v>
      </c>
      <c r="C13" s="30">
        <v>23012.800830143689</v>
      </c>
    </row>
    <row r="14" spans="1:3" x14ac:dyDescent="0.35">
      <c r="A14" s="32">
        <v>45816</v>
      </c>
      <c r="B14" s="30">
        <v>4817.622637367248</v>
      </c>
      <c r="C14" s="30">
        <v>4817.622637367248</v>
      </c>
    </row>
    <row r="15" spans="1:3" x14ac:dyDescent="0.35">
      <c r="A15" s="32">
        <v>45818</v>
      </c>
      <c r="B15" s="30">
        <v>79743.32759807109</v>
      </c>
      <c r="C15" s="30">
        <v>79743.32759807109</v>
      </c>
    </row>
    <row r="16" spans="1:3" x14ac:dyDescent="0.35">
      <c r="A16" s="32">
        <v>45838</v>
      </c>
      <c r="B16" s="30">
        <v>22685.283761811253</v>
      </c>
      <c r="C16" s="30">
        <v>22685.283761811253</v>
      </c>
    </row>
    <row r="17" spans="1:3" x14ac:dyDescent="0.35">
      <c r="A17" s="32">
        <v>45841</v>
      </c>
      <c r="B17" s="30">
        <v>0</v>
      </c>
      <c r="C17" s="30">
        <v>0</v>
      </c>
    </row>
    <row r="18" spans="1:3" x14ac:dyDescent="0.35">
      <c r="A18" s="32">
        <v>45846</v>
      </c>
      <c r="B18" s="30">
        <v>11358.74987244606</v>
      </c>
      <c r="C18" s="30">
        <v>11358.74987244606</v>
      </c>
    </row>
    <row r="19" spans="1:3" x14ac:dyDescent="0.35">
      <c r="A19" s="32">
        <v>45874</v>
      </c>
      <c r="B19" s="30">
        <v>0</v>
      </c>
      <c r="C19" s="30">
        <v>0</v>
      </c>
    </row>
    <row r="20" spans="1:3" x14ac:dyDescent="0.35">
      <c r="A20" s="32">
        <v>45915</v>
      </c>
      <c r="B20" s="30">
        <v>0</v>
      </c>
      <c r="C20" s="30">
        <v>0</v>
      </c>
    </row>
    <row r="21" spans="1:3" x14ac:dyDescent="0.35">
      <c r="A21" s="32">
        <v>45920</v>
      </c>
      <c r="B21" s="30">
        <v>39350.900779896969</v>
      </c>
      <c r="C21" s="30">
        <v>39350.900779896969</v>
      </c>
    </row>
    <row r="22" spans="1:3" x14ac:dyDescent="0.35">
      <c r="A22" s="32">
        <v>45927</v>
      </c>
      <c r="B22" s="30">
        <v>39843.446671485901</v>
      </c>
      <c r="C22" s="30">
        <v>39843.446671485901</v>
      </c>
    </row>
    <row r="23" spans="1:3" x14ac:dyDescent="0.35">
      <c r="A23" s="32">
        <v>45932</v>
      </c>
      <c r="B23" s="30">
        <v>0</v>
      </c>
      <c r="C23" s="30">
        <v>0</v>
      </c>
    </row>
    <row r="24" spans="1:3" x14ac:dyDescent="0.35">
      <c r="A24" s="32">
        <v>45933</v>
      </c>
      <c r="B24" s="30">
        <v>5279.4988559961312</v>
      </c>
      <c r="C24" s="30">
        <v>5279.4988559961312</v>
      </c>
    </row>
    <row r="25" spans="1:3" x14ac:dyDescent="0.35">
      <c r="A25" s="32">
        <v>45934</v>
      </c>
      <c r="B25" s="30">
        <v>7265.0381356537337</v>
      </c>
      <c r="C25" s="30">
        <v>7265.0381356537337</v>
      </c>
    </row>
    <row r="26" spans="1:3" x14ac:dyDescent="0.35">
      <c r="A26" s="32">
        <v>45942</v>
      </c>
      <c r="B26" s="30">
        <v>0</v>
      </c>
      <c r="C26" s="30">
        <v>0</v>
      </c>
    </row>
    <row r="27" spans="1:3" x14ac:dyDescent="0.35">
      <c r="A27" s="32">
        <v>45946</v>
      </c>
      <c r="B27" s="30">
        <v>29926.074687629938</v>
      </c>
      <c r="C27" s="30">
        <v>29926.074687629938</v>
      </c>
    </row>
    <row r="28" spans="1:3" x14ac:dyDescent="0.35">
      <c r="A28" s="32">
        <v>45960</v>
      </c>
      <c r="B28" s="30">
        <v>0</v>
      </c>
      <c r="C28" s="30">
        <v>0</v>
      </c>
    </row>
    <row r="29" spans="1:3" x14ac:dyDescent="0.35">
      <c r="A29" s="32">
        <v>45999</v>
      </c>
      <c r="B29" s="30">
        <v>21477.053791368005</v>
      </c>
      <c r="C29" s="30">
        <v>21477.053791368005</v>
      </c>
    </row>
    <row r="30" spans="1:3" x14ac:dyDescent="0.35">
      <c r="A30" s="32">
        <v>46005</v>
      </c>
      <c r="B30" s="30">
        <v>8990.9755921959877</v>
      </c>
      <c r="C30" s="30">
        <v>8990.9755921959877</v>
      </c>
    </row>
    <row r="31" spans="1:3" x14ac:dyDescent="0.35">
      <c r="A31" s="32">
        <v>46007</v>
      </c>
      <c r="B31" s="30">
        <v>29230.754203796387</v>
      </c>
      <c r="C31" s="30">
        <v>29230.754203796387</v>
      </c>
    </row>
    <row r="32" spans="1:3" x14ac:dyDescent="0.35">
      <c r="A32" s="32">
        <v>46016</v>
      </c>
      <c r="B32" s="30">
        <v>41900.538615542646</v>
      </c>
      <c r="C32" s="30">
        <v>41900.538615542646</v>
      </c>
    </row>
    <row r="33" spans="1:3" x14ac:dyDescent="0.35">
      <c r="A33" s="32">
        <v>46026</v>
      </c>
      <c r="B33" s="30">
        <v>12320.040598297119</v>
      </c>
      <c r="C33" s="30">
        <v>12320.040598297119</v>
      </c>
    </row>
    <row r="34" spans="1:3" x14ac:dyDescent="0.35">
      <c r="A34" s="32">
        <v>46046</v>
      </c>
      <c r="B34" s="30">
        <v>38601.115711569786</v>
      </c>
      <c r="C34" s="30">
        <v>38601.115711569786</v>
      </c>
    </row>
    <row r="35" spans="1:3" x14ac:dyDescent="0.35">
      <c r="A35" s="32">
        <v>46055</v>
      </c>
      <c r="B35" s="30">
        <v>14737.20887711644</v>
      </c>
      <c r="C35" s="30">
        <v>14737.20887711644</v>
      </c>
    </row>
    <row r="36" spans="1:3" x14ac:dyDescent="0.35">
      <c r="A36" s="32">
        <v>46066</v>
      </c>
      <c r="B36" s="30">
        <v>0</v>
      </c>
      <c r="C36" s="30">
        <v>0</v>
      </c>
    </row>
    <row r="37" spans="1:3" x14ac:dyDescent="0.35">
      <c r="A37" s="32">
        <v>46070</v>
      </c>
      <c r="B37" s="30">
        <v>21003.780103230474</v>
      </c>
      <c r="C37" s="30">
        <v>21003.780103230474</v>
      </c>
    </row>
    <row r="38" spans="1:3" x14ac:dyDescent="0.35">
      <c r="A38" s="32">
        <v>46074</v>
      </c>
      <c r="B38" s="30">
        <v>15698.385378599165</v>
      </c>
      <c r="C38" s="30">
        <v>15698.385378599165</v>
      </c>
    </row>
    <row r="39" spans="1:3" x14ac:dyDescent="0.35">
      <c r="A39" s="32">
        <v>46091</v>
      </c>
      <c r="B39" s="30">
        <v>29760.210944259165</v>
      </c>
      <c r="C39" s="30">
        <v>29760.210944259165</v>
      </c>
    </row>
    <row r="40" spans="1:3" x14ac:dyDescent="0.35">
      <c r="A40" s="32">
        <v>46102</v>
      </c>
      <c r="B40" s="30">
        <v>8964.6121445298195</v>
      </c>
      <c r="C40" s="30">
        <v>8964.6121445298195</v>
      </c>
    </row>
    <row r="41" spans="1:3" x14ac:dyDescent="0.35">
      <c r="A41" s="32">
        <v>46103</v>
      </c>
      <c r="B41" s="30">
        <v>16812.520100057125</v>
      </c>
      <c r="C41" s="30">
        <v>16812.520100057125</v>
      </c>
    </row>
    <row r="42" spans="1:3" x14ac:dyDescent="0.35">
      <c r="A42" s="32">
        <v>46109</v>
      </c>
      <c r="B42" s="30">
        <v>11487.733395290374</v>
      </c>
      <c r="C42" s="30">
        <v>11487.733395290374</v>
      </c>
    </row>
    <row r="43" spans="1:3" x14ac:dyDescent="0.35">
      <c r="A43" s="32">
        <v>46118</v>
      </c>
      <c r="B43" s="30">
        <v>33278.808230912684</v>
      </c>
      <c r="C43" s="30">
        <v>33278.808230912684</v>
      </c>
    </row>
    <row r="44" spans="1:3" x14ac:dyDescent="0.35">
      <c r="A44" s="32" t="s">
        <v>963</v>
      </c>
      <c r="B44" s="30">
        <v>616879.55425314896</v>
      </c>
      <c r="C44" s="30">
        <v>616879.55425314896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D930-84AE-4843-91F2-7BF8B87C21F4}">
  <sheetPr codeName="Sheet12"/>
  <dimension ref="A1:Q10"/>
  <sheetViews>
    <sheetView showGridLines="0" zoomScale="61" zoomScaleNormal="61" workbookViewId="0">
      <selection activeCell="AB33" sqref="AB33"/>
    </sheetView>
  </sheetViews>
  <sheetFormatPr defaultRowHeight="14.5" x14ac:dyDescent="0.35"/>
  <cols>
    <col min="10" max="10" width="13.7265625" customWidth="1"/>
    <col min="11" max="11" width="5.1796875" customWidth="1"/>
    <col min="16" max="17" width="0" hidden="1" customWidth="1"/>
  </cols>
  <sheetData>
    <row r="1" spans="1:17" ht="35" customHeight="1" x14ac:dyDescent="0.55000000000000004">
      <c r="A1" s="33" t="s">
        <v>1004</v>
      </c>
      <c r="B1" s="33"/>
      <c r="C1" s="33"/>
      <c r="D1" s="33"/>
      <c r="E1" s="33"/>
      <c r="F1" s="33"/>
      <c r="G1" s="33"/>
      <c r="H1" s="33"/>
      <c r="I1" s="33"/>
      <c r="J1" s="33"/>
      <c r="P1" t="s">
        <v>976</v>
      </c>
      <c r="Q1" t="s">
        <v>977</v>
      </c>
    </row>
    <row r="2" spans="1:17" x14ac:dyDescent="0.35">
      <c r="P2" t="s">
        <v>978</v>
      </c>
      <c r="Q2">
        <f>SUMIFS(Revenue_Table[Amount_USD], Revenue_Table[Donor_Name], "*Sida*") - SUMIFS(Expenditure_Table[Disbursed_Amount_USD], Expenditure_Table[Allocation_ID], "*")</f>
        <v>19053151.323618926</v>
      </c>
    </row>
    <row r="3" spans="1:17" x14ac:dyDescent="0.35">
      <c r="A3" s="1" t="s">
        <v>971</v>
      </c>
      <c r="B3" t="s">
        <v>971</v>
      </c>
      <c r="C3" t="s">
        <v>971</v>
      </c>
      <c r="D3" t="s">
        <v>971</v>
      </c>
      <c r="E3" t="s">
        <v>971</v>
      </c>
      <c r="F3" t="s">
        <v>971</v>
      </c>
      <c r="G3" t="s">
        <v>971</v>
      </c>
      <c r="H3" t="s">
        <v>971</v>
      </c>
      <c r="I3" t="s">
        <v>971</v>
      </c>
      <c r="J3" t="s">
        <v>971</v>
      </c>
      <c r="P3" t="s">
        <v>979</v>
      </c>
      <c r="Q3">
        <f>SUMIFS(Revenue_Table[Amount_USD], Revenue_Table[Donor_Name], "*EU*")</f>
        <v>7749243.0150000006</v>
      </c>
    </row>
    <row r="4" spans="1:17" x14ac:dyDescent="0.35">
      <c r="P4" t="s">
        <v>4</v>
      </c>
      <c r="Q4">
        <f>SUMIFS(Revenue_Table[Amount_USD], Revenue_Table[Donor_Name], "*ECHO*")</f>
        <v>31263712.82</v>
      </c>
    </row>
    <row r="5" spans="1:17" x14ac:dyDescent="0.35">
      <c r="A5" s="34" t="s">
        <v>972</v>
      </c>
      <c r="B5" s="35"/>
      <c r="C5" s="36"/>
      <c r="D5" s="45" t="s">
        <v>973</v>
      </c>
      <c r="E5" s="46"/>
      <c r="F5" s="47"/>
      <c r="G5" s="55" t="s">
        <v>974</v>
      </c>
      <c r="H5" s="56"/>
      <c r="I5" s="57"/>
      <c r="J5" s="64" t="s">
        <v>975</v>
      </c>
      <c r="P5" t="s">
        <v>3</v>
      </c>
      <c r="Q5">
        <f>SUMIFS(Revenue_Table[Amount_USD], Revenue_Table[Donor_Name], "*Irish*")</f>
        <v>18916125.760000002</v>
      </c>
    </row>
    <row r="6" spans="1:17" x14ac:dyDescent="0.35">
      <c r="A6" s="37"/>
      <c r="B6" s="38"/>
      <c r="C6" s="39"/>
      <c r="D6" s="44"/>
      <c r="E6" s="48"/>
      <c r="F6" s="49"/>
      <c r="G6" s="54"/>
      <c r="H6" s="58"/>
      <c r="I6" s="59"/>
      <c r="J6" s="65"/>
    </row>
    <row r="7" spans="1:17" x14ac:dyDescent="0.35">
      <c r="A7" s="40"/>
      <c r="B7" s="38"/>
      <c r="C7" s="39"/>
      <c r="D7" s="50"/>
      <c r="E7" s="48"/>
      <c r="F7" s="49"/>
      <c r="G7" s="60"/>
      <c r="H7" s="58"/>
      <c r="I7" s="59"/>
      <c r="J7" s="66"/>
    </row>
    <row r="8" spans="1:17" x14ac:dyDescent="0.35">
      <c r="A8" s="37"/>
      <c r="B8" s="38"/>
      <c r="C8" s="39"/>
      <c r="D8" s="44"/>
      <c r="E8" s="48"/>
      <c r="F8" s="49"/>
      <c r="G8" s="54"/>
      <c r="H8" s="58"/>
      <c r="I8" s="59"/>
      <c r="J8" s="65"/>
    </row>
    <row r="9" spans="1:17" x14ac:dyDescent="0.35">
      <c r="A9" s="37"/>
      <c r="B9" s="38"/>
      <c r="C9" s="39"/>
      <c r="D9" s="44"/>
      <c r="E9" s="48"/>
      <c r="F9" s="49"/>
      <c r="G9" s="54"/>
      <c r="H9" s="58"/>
      <c r="I9" s="59"/>
      <c r="J9" s="65"/>
      <c r="K9" s="70"/>
    </row>
    <row r="10" spans="1:17" x14ac:dyDescent="0.35">
      <c r="A10" s="41"/>
      <c r="B10" s="42"/>
      <c r="C10" s="43"/>
      <c r="D10" s="51"/>
      <c r="E10" s="52"/>
      <c r="F10" s="53"/>
      <c r="G10" s="61"/>
      <c r="H10" s="62"/>
      <c r="I10" s="63"/>
      <c r="J10" s="67"/>
    </row>
  </sheetData>
  <mergeCells count="5">
    <mergeCell ref="A1:J1"/>
    <mergeCell ref="A5:C10"/>
    <mergeCell ref="D5:F10"/>
    <mergeCell ref="G5:I10"/>
    <mergeCell ref="J5:J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733B-24E9-4DA4-96C9-CA07ABCDD3AB}">
  <sheetPr codeName="Sheet13"/>
  <dimension ref="A1:I8"/>
  <sheetViews>
    <sheetView workbookViewId="0">
      <selection activeCell="G8" sqref="G8"/>
    </sheetView>
  </sheetViews>
  <sheetFormatPr defaultRowHeight="14.5" x14ac:dyDescent="0.35"/>
  <cols>
    <col min="1" max="1" width="64.54296875" bestFit="1" customWidth="1"/>
    <col min="2" max="2" width="20.90625" bestFit="1" customWidth="1"/>
    <col min="3" max="3" width="11.08984375" style="30" bestFit="1" customWidth="1"/>
    <col min="4" max="4" width="14.6328125" style="30" bestFit="1" customWidth="1"/>
    <col min="5" max="5" width="12.90625" style="30" bestFit="1" customWidth="1"/>
    <col min="6" max="6" width="15.7265625" style="30" bestFit="1" customWidth="1"/>
    <col min="7" max="7" width="11.36328125" bestFit="1" customWidth="1"/>
    <col min="8" max="8" width="8" bestFit="1" customWidth="1"/>
    <col min="9" max="9" width="5.6328125" bestFit="1" customWidth="1"/>
  </cols>
  <sheetData>
    <row r="1" spans="1:9" ht="18.5" x14ac:dyDescent="0.45">
      <c r="A1" s="31" t="s">
        <v>980</v>
      </c>
    </row>
    <row r="3" spans="1:9" x14ac:dyDescent="0.35">
      <c r="A3" t="s">
        <v>981</v>
      </c>
      <c r="B3" t="s">
        <v>982</v>
      </c>
    </row>
    <row r="5" spans="1:9" x14ac:dyDescent="0.35">
      <c r="A5" t="s">
        <v>983</v>
      </c>
      <c r="B5" t="s">
        <v>984</v>
      </c>
    </row>
    <row r="7" spans="1:9" x14ac:dyDescent="0.35">
      <c r="A7" s="15" t="s">
        <v>985</v>
      </c>
      <c r="B7" s="15" t="s">
        <v>986</v>
      </c>
      <c r="C7" s="69" t="s">
        <v>987</v>
      </c>
      <c r="D7" s="69" t="s">
        <v>988</v>
      </c>
      <c r="E7" s="69" t="s">
        <v>989</v>
      </c>
      <c r="F7" s="69" t="s">
        <v>990</v>
      </c>
      <c r="G7" s="15" t="s">
        <v>991</v>
      </c>
      <c r="H7" s="15" t="s">
        <v>992</v>
      </c>
      <c r="I7" s="15" t="s">
        <v>993</v>
      </c>
    </row>
    <row r="8" spans="1:9" x14ac:dyDescent="0.35">
      <c r="A8" t="s">
        <v>994</v>
      </c>
      <c r="B8" t="s">
        <v>995</v>
      </c>
      <c r="C8" s="30">
        <v>250000</v>
      </c>
      <c r="D8" s="30">
        <v>175000</v>
      </c>
      <c r="E8" s="30">
        <v>25000</v>
      </c>
      <c r="F8" s="30">
        <f>C8-D8-E8</f>
        <v>50000</v>
      </c>
      <c r="G8" s="68">
        <f>D8/C8</f>
        <v>0.7</v>
      </c>
      <c r="H8"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7</vt:i4>
      </vt:variant>
    </vt:vector>
  </HeadingPairs>
  <TitlesOfParts>
    <vt:vector size="24" baseType="lpstr">
      <vt:lpstr>TBL_Revenue</vt:lpstr>
      <vt:lpstr>TBL_Allocation</vt:lpstr>
      <vt:lpstr>TBL_Expenditure</vt:lpstr>
      <vt:lpstr>RESERVE_Engine</vt:lpstr>
      <vt:lpstr>Pivot_Donor_Summary</vt:lpstr>
      <vt:lpstr>Detail1</vt:lpstr>
      <vt:lpstr>Detail2</vt:lpstr>
      <vt:lpstr>Detail3</vt:lpstr>
      <vt:lpstr>Detail4</vt:lpstr>
      <vt:lpstr>Detail5</vt:lpstr>
      <vt:lpstr>Detail6</vt:lpstr>
      <vt:lpstr>Detail7</vt:lpstr>
      <vt:lpstr>Detail8</vt:lpstr>
      <vt:lpstr>Pivot_Pillar_Allocation</vt:lpstr>
      <vt:lpstr>Pivot_Expenditure_Timeline</vt:lpstr>
      <vt:lpstr>EXECUTIVE_DASHBOARD</vt:lpstr>
      <vt:lpstr>Donor_Report_Template</vt:lpstr>
      <vt:lpstr>FX_Rates</vt:lpstr>
      <vt:lpstr>List_Currency</vt:lpstr>
      <vt:lpstr>List_Donors</vt:lpstr>
      <vt:lpstr>List_Earmarking</vt:lpstr>
      <vt:lpstr>List_ExpCategories</vt:lpstr>
      <vt:lpstr>List_FundingStream</vt:lpstr>
      <vt:lpstr>List_Pillars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MBUYU, Omari</dc:creator>
  <cp:lastModifiedBy>MBUYU, Omari</cp:lastModifiedBy>
  <dcterms:created xsi:type="dcterms:W3CDTF">2026-04-15T21:22:16Z</dcterms:created>
  <dcterms:modified xsi:type="dcterms:W3CDTF">2026-04-15T22:09:03Z</dcterms:modified>
</cp:coreProperties>
</file>